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02b0efe6b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통합현황" sheetId="1" r:id="R81b204fba5784460"/>
    <x:sheet xmlns:r="http://schemas.openxmlformats.org/officeDocument/2006/relationships" name="01_구매비용원장" sheetId="2" r:id="R74ff009b56c84039"/>
    <x:sheet xmlns:r="http://schemas.openxmlformats.org/officeDocument/2006/relationships" name="02_승인예산" sheetId="3" r:id="Rc917d9a9bcbe40b0"/>
    <x:sheet xmlns:r="http://schemas.openxmlformats.org/officeDocument/2006/relationships" name="03_코드_안내" sheetId="4" r:id="R297d3fd51f6b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₩&quot;#,##0;[Red](&quot;₩&quot;#,##0);&quot;-&quot;"/>
    <x:numFmt numFmtId="201" formatCode="#,##0.###;[Red](#,##0.###);&quot;-&quot;"/>
    <x:numFmt numFmtId="202" formatCode="yyyy-mm-dd"/>
    <x:numFmt numFmtId="203" formatCode="0.0%"/>
  </x:numFmts>
  <x:fonts count="14">
    <x:font>
      <x:sz val="11"/>
      <x:name val="Carlito"/>
    </x:font>
    <x:font>
      <x:b/>
      <x:sz val="18"/>
      <x:color rgb="FFFFFFFF"/>
      <x:name val="Malgun Gothic"/>
    </x:font>
    <x:font>
      <x:sz val="10"/>
      <x:color rgb="FF234C6F"/>
      <x:name val="Malgun Gothic"/>
    </x:font>
    <x:font>
      <x:b/>
      <x:sz val="9"/>
      <x:color rgb="FFFFFFFF"/>
      <x:name val="Malgun Gothic"/>
    </x:font>
    <x:font>
      <x:b/>
      <x:sz val="16"/>
      <x:color rgb="FF17324D"/>
      <x:name val="Malgun Gothic"/>
    </x:font>
    <x:font>
      <x:b/>
      <x:sz val="16"/>
      <x:color rgb="FF0E7C7B"/>
      <x:name val="Malgun Gothic"/>
    </x:font>
    <x:font>
      <x:sz val="9"/>
      <x:color rgb="FF1C2733"/>
      <x:name val="Malgun Gothic"/>
    </x:font>
    <x:font>
      <x:b/>
      <x:sz val="9"/>
      <x:color rgb="FF1C2733"/>
      <x:name val="Malgun Gothic"/>
    </x:font>
    <x:font>
      <x:b/>
      <x:sz val="9"/>
      <x:color rgb="FF17324D"/>
      <x:name val="Malgun Gothic"/>
    </x:font>
    <x:font>
      <x:b/>
      <x:sz val="9"/>
      <x:color rgb="FF234C6F"/>
      <x:name val="Malgun Gothic"/>
    </x:font>
    <x:font>
      <x:sz val="9"/>
      <x:color rgb="FF7A5A00"/>
      <x:name val="Malgun Gothic"/>
    </x:font>
    <x:font>
      <x:sz val="8"/>
      <x:color rgb="FF1C2733"/>
      <x:name val="Malgun Gothic"/>
    </x:font>
    <x:font>
      <x:sz val="8"/>
      <x:color rgb="FF2F75B5"/>
      <x:name val="Malgun Gothic"/>
    </x:font>
    <x:font>
      <x:b/>
      <x:sz val="11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234C6F"/>
      </x:patternFill>
    </x:fill>
    <x:fill>
      <x:patternFill patternType="solid">
        <x:fgColor rgb="FFDDF2F0"/>
      </x:patternFill>
    </x:fill>
    <x:fill>
      <x:patternFill patternType="solid">
        <x:fgColor rgb="FFF3F5F7"/>
      </x:patternFill>
    </x:fill>
    <x:fill>
      <x:patternFill patternType="solid">
        <x:fgColor rgb="FFE8F2FB"/>
      </x:patternFill>
    </x:fill>
    <x:fill>
      <x:patternFill patternType="solid">
        <x:fgColor rgb="FFE7F4EF"/>
      </x:patternFill>
    </x:fill>
    <x:fill>
      <x:patternFill patternType="solid">
        <x:fgColor rgb="FFFFF3CD"/>
      </x:patternFill>
    </x:fill>
    <x:fill>
      <x:patternFill patternType="solid">
        <x:fgColor rgb="FF2F75B5"/>
      </x:patternFill>
    </x:fill>
    <x:fill>
      <x:patternFill patternType="solid">
        <x:fgColor rgb="FFC99400"/>
      </x:patternFill>
    </x:fill>
    <x:fill>
      <x:patternFill patternType="solid">
        <x:fgColor rgb="FF237A57"/>
      </x:patternFill>
    </x:fill>
    <x:fill>
      <x:patternFill patternType="solid">
        <x:fgColor rgb="FF0E7C7B"/>
      </x:patternFill>
    </x:fill>
    <x:fill>
      <x:patternFill patternType="solid">
        <x:fgColor rgb="FF5D6B78"/>
      </x:patternFill>
    </x:fill>
    <x:fill>
      <x:patternFill patternType="solid">
        <x:fgColor rgb="FFFFF8D8"/>
      </x:patternFill>
    </x:fill>
    <x:fill>
      <x:patternFill patternType="solid">
        <x:fgColor rgb="FF183A5A"/>
      </x:patternFill>
    </x:fill>
  </x:fills>
  <x:borders count="2">
    <x:border/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4" fillId="3" borderId="1" xfId="0" applyNumberFormat="1" applyFont="1" applyFill="1" applyBorder="1"/>
    <x:xf numFmtId="200" fontId="4" fillId="3" borderId="1" xfId="0" applyNumberFormat="1" applyFont="1" applyFill="1" applyBorder="1" applyAlignment="1">
      <x:alignment horizontal="center"/>
    </x:xf>
    <x:xf numFmtId="200" fontId="4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0" fontId="5" fillId="5" borderId="1" xfId="0" applyNumberFormat="1" applyFont="1" applyFill="1" applyBorder="1"/>
    <x:xf numFmtId="200" fontId="5" fillId="5" borderId="1" xfId="0" applyNumberFormat="1" applyFont="1" applyFill="1" applyBorder="1" applyAlignment="1">
      <x:alignment horizont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horizontal="left" wrapText="1"/>
    </x:xf>
    <x:xf numFmtId="0" fontId="6" fillId="0" borderId="1" xfId="0" applyNumberFormat="1" applyFont="1" applyFill="1" applyBorder="1" applyAlignment="1">
      <x:alignment horizontal="left" vertical="center" wrapText="1"/>
    </x:xf>
    <x:xf numFmtId="0" fontId="6" fillId="6" borderId="1" xfId="0" applyNumberFormat="1" applyFont="1" applyFill="1" applyBorder="1" applyAlignment="1">
      <x:alignment horizontal="left" vertical="center" wrapText="1"/>
    </x:xf>
    <x:xf numFmtId="0" fontId="6" fillId="7" borderId="1" xfId="0" applyNumberFormat="1" applyFont="1" applyFill="1" applyBorder="1" applyAlignment="1">
      <x:alignment horizontal="left" vertical="center" wrapText="1"/>
    </x:xf>
    <x:xf numFmtId="200" fontId="6" fillId="7" borderId="1" xfId="0" applyNumberFormat="1" applyFont="1" applyFill="1" applyBorder="1" applyAlignment="1">
      <x:alignment horizontal="left" vertical="center" wrapText="1"/>
    </x:xf>
    <x:xf numFmtId="200" fontId="6" fillId="7" borderId="1" xfId="0" applyNumberFormat="1" applyFont="1" applyFill="1" applyBorder="1" applyAlignment="1">
      <x:alignment horizontal="right" vertical="center" wrapText="1"/>
    </x:xf>
    <x:xf numFmtId="0" fontId="6" fillId="8" borderId="1" xfId="0" applyNumberFormat="1" applyFont="1" applyFill="1" applyBorder="1" applyAlignment="1">
      <x:alignment horizontal="left" vertical="center" wrapText="1"/>
    </x:xf>
    <x:xf numFmtId="0" fontId="7" fillId="8" borderId="1" xfId="0" applyNumberFormat="1" applyFont="1" applyFill="1" applyBorder="1" applyAlignment="1">
      <x:alignment horizontal="left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horizontal="left" vertical="center" wrapText="1"/>
    </x:xf>
    <x:xf numFmtId="200" fontId="8" fillId="7" borderId="1" xfId="0" applyNumberFormat="1" applyFont="1" applyFill="1" applyBorder="1" applyAlignment="1">
      <x:alignment horizontal="right"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9" fillId="6" borderId="1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1" xfId="0" applyNumberFormat="1" applyFont="1" applyFill="1" applyBorder="1"/>
    <x:xf numFmtId="0" fontId="10" fillId="9" borderId="1" xfId="0" applyNumberFormat="1" applyFont="1" applyFill="1" applyBorder="1" applyAlignment="1">
      <x:alignment wrapText="1"/>
    </x:xf>
    <x:xf numFmtId="0" fontId="10" fillId="9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3" fillId="10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horizontal="center"/>
    </x:xf>
    <x:xf numFmtId="0" fontId="3" fillId="11" borderId="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horizontal="center"/>
    </x:xf>
    <x:xf numFmtId="0" fontId="3" fillId="12" borderId="1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1" xfId="0" applyNumberFormat="1" applyFont="1" applyFill="1" applyBorder="1" applyAlignment="1">
      <x:alignment horizontal="center"/>
    </x:xf>
    <x:xf numFmtId="0" fontId="3" fillId="13" borderId="1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1" xfId="0" applyNumberFormat="1" applyFont="1" applyFill="1" applyBorder="1"/>
    <x:xf numFmtId="0" fontId="3" fillId="14" borderId="1" xfId="0" applyNumberFormat="1" applyFont="1" applyFill="1" applyBorder="1" applyAlignment="1">
      <x:alignment horizontal="center"/>
    </x:xf>
    <x:xf numFmtId="0" fontId="3" fillId="14" borderId="1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horizontal="left" wrapText="1"/>
    </x:xf>
    <x:xf numFmtId="0" fontId="11" fillId="0" borderId="1" xfId="0" applyNumberFormat="1" applyFont="1" applyFill="1" applyBorder="1" applyAlignment="1">
      <x:alignment horizontal="left" vertical="center" wrapText="1"/>
    </x:xf>
    <x:xf numFmtId="0" fontId="11" fillId="15" borderId="1" xfId="0" applyNumberFormat="1" applyFont="1" applyFill="1" applyBorder="1" applyAlignment="1">
      <x:alignment horizontal="left" vertical="center" wrapText="1"/>
    </x:xf>
    <x:xf numFmtId="0" fontId="11" fillId="7" borderId="1" xfId="0" applyNumberFormat="1" applyFont="1" applyFill="1" applyBorder="1" applyAlignment="1">
      <x:alignment horizontal="left" vertical="center" wrapText="1"/>
    </x:xf>
    <x:xf numFmtId="0" fontId="11" fillId="8" borderId="1" xfId="0" applyNumberFormat="1" applyFont="1" applyFill="1" applyBorder="1" applyAlignment="1">
      <x:alignment horizontal="left" vertical="center" wrapText="1"/>
    </x:xf>
    <x:xf numFmtId="201" fontId="11" fillId="15" borderId="1" xfId="0" applyNumberFormat="1" applyFont="1" applyFill="1" applyBorder="1" applyAlignment="1">
      <x:alignment horizontal="left" vertical="center" wrapText="1"/>
    </x:xf>
    <x:xf numFmtId="200" fontId="11" fillId="15" borderId="1" xfId="0" applyNumberFormat="1" applyFont="1" applyFill="1" applyBorder="1" applyAlignment="1">
      <x:alignment horizontal="left" vertical="center" wrapText="1"/>
    </x:xf>
    <x:xf numFmtId="200" fontId="11" fillId="7" borderId="1" xfId="0" applyNumberFormat="1" applyFont="1" applyFill="1" applyBorder="1" applyAlignment="1">
      <x:alignment horizontal="left" vertical="center" wrapText="1"/>
    </x:xf>
    <x:xf numFmtId="200" fontId="11" fillId="8" borderId="1" xfId="0" applyNumberFormat="1" applyFont="1" applyFill="1" applyBorder="1" applyAlignment="1">
      <x:alignment horizontal="left" vertical="center" wrapText="1"/>
    </x:xf>
    <x:xf numFmtId="202" fontId="11" fillId="15" borderId="1" xfId="0" applyNumberFormat="1" applyFont="1" applyFill="1" applyBorder="1" applyAlignment="1">
      <x:alignment horizontal="left" vertical="center" wrapText="1"/>
    </x:xf>
    <x:xf numFmtId="202" fontId="11" fillId="7" borderId="1" xfId="0" applyNumberFormat="1" applyFont="1" applyFill="1" applyBorder="1" applyAlignment="1">
      <x:alignment horizontal="left" vertical="center" wrapText="1"/>
    </x:xf>
    <x:xf numFmtId="202" fontId="11" fillId="8" borderId="1" xfId="0" applyNumberFormat="1" applyFont="1" applyFill="1" applyBorder="1" applyAlignment="1">
      <x:alignment horizontal="left" vertical="center" wrapText="1"/>
    </x:xf>
    <x:xf numFmtId="0" fontId="12" fillId="15" borderId="1" xfId="0" applyNumberFormat="1" applyFont="1" applyFill="1" applyBorder="1" applyAlignment="1">
      <x:alignment horizontal="left" vertical="center" wrapText="1"/>
    </x:xf>
    <x:xf numFmtId="0" fontId="11" fillId="6" borderId="1" xfId="0" applyNumberFormat="1" applyFont="1" applyFill="1" applyBorder="1" applyAlignment="1">
      <x:alignment horizontal="left" vertical="center" wrapText="1"/>
    </x:xf>
    <x:xf numFmtId="203" fontId="11" fillId="7" borderId="1" xfId="0" applyNumberFormat="1" applyFont="1" applyFill="1" applyBorder="1" applyAlignment="1">
      <x:alignment horizontal="left" vertical="center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9" fillId="3" borderId="1" xfId="0" applyNumberFormat="1" applyFont="1" applyFill="1" applyBorder="1" applyAlignment="1">
      <x:alignment horizontal="left" vertical="center" wrapText="1"/>
    </x:xf>
    <x:xf numFmtId="0" fontId="0" fillId="16" borderId="0" xfId="0" applyNumberFormat="1" applyFont="1" applyFill="1" applyBorder="1"/>
    <x:xf numFmtId="0" fontId="13" fillId="16" borderId="0" xfId="0" applyNumberFormat="1" applyFont="1" applyFill="1" applyBorder="1"/>
    <x:xf numFmtId="0" fontId="13" fillId="16" borderId="0" xfId="0" applyNumberFormat="1" applyFont="1" applyFill="1" applyBorder="1" applyAlignment="1">
      <x:alignment horizontal="center"/>
    </x:xf>
    <x:xf numFmtId="0" fontId="13" fillId="1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2">
    <x:dxf>
      <x:font>
        <x:b/>
        <x:color rgb="FF237A57"/>
      </x:font>
      <x:fill>
        <x:patternFill>
          <x:bgColor rgb="FFDDF3E8"/>
        </x:patternFill>
      </x:fill>
    </x:dxf>
    <x:dxf>
      <x:font>
        <x:b/>
        <x:color rgb="FF237A57"/>
      </x:font>
      <x:fill>
        <x:patternFill>
          <x:bgColor rgb="FFDDF3E8"/>
        </x:patternFill>
      </x:fill>
    </x:dxf>
    <x:dxf>
      <x:font>
        <x:b/>
        <x:color rgb="FF7A5A00"/>
      </x:font>
      <x:fill>
        <x:patternFill>
          <x:bgColor rgb="FFFFF3CD"/>
        </x:patternFill>
      </x:fill>
    </x:dxf>
    <x:dxf>
      <x:font>
        <x:b/>
        <x:color rgb="FF7A5A00"/>
      </x:font>
      <x:fill>
        <x:patternFill>
          <x:bgColor rgb="FFFFF3CD"/>
        </x:patternFill>
      </x:fill>
    </x:dxf>
    <x:dxf>
      <x:font>
        <x:b/>
        <x:color rgb="FF5D6B78"/>
      </x:font>
      <x:fill>
        <x:patternFill>
          <x:bgColor rgb="FFF3F5F7"/>
        </x:patternFill>
      </x:fill>
    </x:dxf>
    <x:dxf>
      <x:font>
        <x:b/>
        <x:color rgb="FF5D6B78"/>
      </x:font>
      <x:fill>
        <x:patternFill>
          <x:bgColor rgb="FFF3F5F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237A57"/>
      </x:font>
      <x:fill>
        <x:patternFill>
          <x:bgColor rgb="FFDDF3E8"/>
        </x:patternFill>
      </x:fill>
    </x:dxf>
    <x:dxf>
      <x:font>
        <x:b/>
        <x:color rgb="FF237A57"/>
      </x:font>
      <x:fill>
        <x:patternFill>
          <x:bgColor rgb="FFDDF3E8"/>
        </x:patternFill>
      </x:fill>
    </x:dxf>
    <x:dxf>
      <x:font>
        <x:b/>
        <x:color rgb="FF7A5A00"/>
      </x:font>
      <x:fill>
        <x:patternFill>
          <x:bgColor rgb="FFFFF3CD"/>
        </x:patternFill>
      </x:fill>
    </x:dxf>
    <x:dxf>
      <x:font>
        <x:b/>
        <x:color rgb="FF7A5A00"/>
      </x:font>
      <x:fill>
        <x:patternFill>
          <x:bgColor rgb="FFFFF3CD"/>
        </x:patternFill>
      </x:fill>
    </x:dxf>
    <x:dxf>
      <x:font>
        <x:b/>
        <x:color rgb="FF5D6B78"/>
      </x:font>
      <x:fill>
        <x:patternFill>
          <x:bgColor rgb="FFF3F5F7"/>
        </x:patternFill>
      </x:fill>
    </x:dxf>
    <x:dxf>
      <x:font>
        <x:b/>
        <x:color rgb="FF5D6B78"/>
      </x:font>
      <x:fill>
        <x:patternFill>
          <x:bgColor rgb="FFF3F5F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237A57"/>
      </x:font>
      <x:fill>
        <x:patternFill>
          <x:bgColor rgb="FFDDF3E8"/>
        </x:patternFill>
      </x:fill>
    </x:dxf>
    <x:dxf>
      <x:font>
        <x:b/>
        <x:color rgb="FF237A57"/>
      </x:font>
      <x:fill>
        <x:patternFill>
          <x:bgColor rgb="FFDDF3E8"/>
        </x:patternFill>
      </x:fill>
    </x:dxf>
    <x:dxf>
      <x:font>
        <x:b/>
        <x:color rgb="FF7A5A00"/>
      </x:font>
      <x:fill>
        <x:patternFill>
          <x:bgColor rgb="FFFFF3CD"/>
        </x:patternFill>
      </x:fill>
    </x:dxf>
    <x:dxf>
      <x:font>
        <x:b/>
        <x:color rgb="FF7A5A00"/>
      </x:font>
      <x:fill>
        <x:patternFill>
          <x:bgColor rgb="FFFFF3CD"/>
        </x:patternFill>
      </x:fill>
    </x:dxf>
    <x:dxf>
      <x:font>
        <x:b/>
        <x:color rgb="FF5D6B78"/>
      </x:font>
      <x:fill>
        <x:patternFill>
          <x:bgColor rgb="FFF3F5F7"/>
        </x:patternFill>
      </x:fill>
    </x:dxf>
    <x:dxf>
      <x:font>
        <x:b/>
        <x:color rgb="FF5D6B78"/>
      </x:font>
      <x:fill>
        <x:patternFill>
          <x:bgColor rgb="FFF3F5F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237A57"/>
      </x:font>
      <x:fill>
        <x:patternFill>
          <x:bgColor rgb="FFDDF3E8"/>
        </x:patternFill>
      </x:fill>
    </x:dxf>
    <x:dxf>
      <x:font>
        <x:b/>
        <x:color rgb="FF234C6F"/>
      </x:font>
      <x:fill>
        <x:patternFill>
          <x:bgColor rgb="FFEAF1F8"/>
        </x:patternFill>
      </x:fill>
    </x:dxf>
    <x:dxf>
      <x:font>
        <x:b/>
        <x:color rgb="FF5D6B78"/>
      </x:font>
      <x:fill>
        <x:patternFill>
          <x:bgColor rgb="FFF3F5F7"/>
        </x:patternFill>
      </x:fill>
    </x:dxf>
    <x:dxf>
      <x:font>
        <x:b/>
        <x:color rgb="FF237A57"/>
      </x:font>
      <x:fill>
        <x:patternFill>
          <x:bgColor rgb="FFDDF3E8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237A57"/>
      </x:font>
      <x:fill>
        <x:patternFill>
          <x:bgColor rgb="FFDDF3E8"/>
        </x:patternFill>
      </x:fill>
    </x:dxf>
    <x:dxf>
      <x:font>
        <x:b/>
        <x:color rgb="FF237A57"/>
      </x:font>
      <x:fill>
        <x:patternFill>
          <x:bgColor rgb="FFDDF3E8"/>
        </x:patternFill>
      </x:fill>
    </x:dxf>
    <x:dxf>
      <x:font>
        <x:b/>
        <x:color rgb="FF7A5A00"/>
      </x:font>
      <x:fill>
        <x:patternFill>
          <x:bgColor rgb="FFFFF3CD"/>
        </x:patternFill>
      </x:fill>
    </x:dxf>
    <x:dxf>
      <x:font>
        <x:b/>
        <x:color rgb="FF7A5A00"/>
      </x:font>
      <x:fill>
        <x:patternFill>
          <x:bgColor rgb="FFFFF3CD"/>
        </x:patternFill>
      </x:fill>
    </x:dxf>
    <x:dxf>
      <x:font>
        <x:b/>
        <x:color rgb="FF5D6B78"/>
      </x:font>
      <x:fill>
        <x:patternFill>
          <x:bgColor rgb="FFF3F5F7"/>
        </x:patternFill>
      </x:fill>
    </x:dxf>
    <x:dxf>
      <x:font>
        <x:b/>
        <x:color rgb="FF5D6B78"/>
      </x:font>
      <x:fill>
        <x:patternFill>
          <x:bgColor rgb="FFF3F5F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c7b23b0cd46a7" /><Relationship Type="http://schemas.openxmlformats.org/officeDocument/2006/relationships/theme" Target="/xl/theme/theme1.xml" Id="R10141d213d214581" /><Relationship Type="http://schemas.openxmlformats.org/officeDocument/2006/relationships/sharedStrings" Target="/xl/sharedStrings.xml" Id="R7dc2e630fc894a8c" /><Relationship Type="http://schemas.openxmlformats.org/officeDocument/2006/relationships/worksheet" Target="/xl/worksheets/sheet1.xml" Id="R81b204fba5784460" /><Relationship Type="http://schemas.openxmlformats.org/officeDocument/2006/relationships/worksheet" Target="/xl/worksheets/sheet2.xml" Id="R74ff009b56c84039" /><Relationship Type="http://schemas.openxmlformats.org/officeDocument/2006/relationships/worksheet" Target="/xl/worksheets/sheet3.xml" Id="Rc917d9a9bcbe40b0" /><Relationship Type="http://schemas.openxmlformats.org/officeDocument/2006/relationships/worksheet" Target="/xl/worksheets/sheet4.xml" Id="R297d3fd51f6b47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ca1f0c810d43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비목별 승인예산·구매계획 전망·실구매액 (원)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승인예산</c:v>
          </c:tx>
          <c:spPr>
            <a:solidFill xmlns:a="http://schemas.openxmlformats.org/drawingml/2006/main">
              <a:srgbClr val="2B5D85"/>
            </a:solidFill>
          </c:spPr>
          <c:cat>
            <c:strRef>
              <c:f>'00_통합현황'!$A$10:$A$14</c:f>
              <c:strCache>
                <c:ptCount val="0"/>
              </c:strCache>
            </c:strRef>
          </c:cat>
          <c:val>
            <c:numRef>
              <c:f>'00_통합현황'!$B$10:$B$14</c:f>
              <c:numCache>
                <c:formatCode>"₩"#,##0</c:formatCode>
                <c:ptCount val="0"/>
              </c:numCache>
            </c:numRef>
          </c:val>
        </c:ser>
        <c:ser>
          <c:idx val="1"/>
          <c:order val="1"/>
          <c:tx>
            <c:v>구매계획 전망</c:v>
          </c:tx>
          <c:spPr>
            <a:solidFill xmlns:a="http://schemas.openxmlformats.org/drawingml/2006/main">
              <a:srgbClr val="0F8B8D"/>
            </a:solidFill>
          </c:spPr>
          <c:cat>
            <c:strRef>
              <c:f>'00_통합현황'!$A$10:$A$14</c:f>
              <c:strCache>
                <c:ptCount val="0"/>
              </c:strCache>
            </c:strRef>
          </c:cat>
          <c:val>
            <c:numRef>
              <c:f>'00_통합현황'!$D$10:$D$14</c:f>
              <c:numCache>
                <c:formatCode>"₩"#,##0</c:formatCode>
                <c:ptCount val="0"/>
              </c:numCache>
            </c:numRef>
          </c:val>
        </c:ser>
        <c:ser>
          <c:idx val="2"/>
          <c:order val="2"/>
          <c:tx>
            <c:v>실구매액</c:v>
          </c:tx>
          <c:spPr>
            <a:solidFill xmlns:a="http://schemas.openxmlformats.org/drawingml/2006/main">
              <a:srgbClr val="F28E2B"/>
            </a:solidFill>
          </c:spPr>
          <c:cat>
            <c:strRef>
              <c:f>'00_통합현황'!$A$10:$A$14</c:f>
              <c:strCache>
                <c:ptCount val="0"/>
              </c:strCache>
            </c:strRef>
          </c:cat>
          <c:val>
            <c:numRef>
              <c:f>'00_통합현황'!$E$10:$E$14</c:f>
              <c:numCache>
                <c:formatCode>"₩"#,##0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₩&quot;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ca1f0c810d43f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monUnifiedCostLedgerV11" displayName="CommonUnifiedCostLedgerV11" ref="A6:AQ156" headerRowCount="1" totalsRowCount="0" totalsRowShown="0">
  <x:tableColumns count="43">
    <x:tableColumn id="1" name="계획ID"/>
    <x:tableColumn id="2" name="진행단계"/>
    <x:tableColumn id="3" name="전망반영(기본 포함)"/>
    <x:tableColumn id="4" name="비용유형"/>
    <x:tableColumn id="5" name="비목 [자동]"/>
    <x:tableColumn id="6" name="예산라인ID"/>
    <x:tableColumn id="7" name="공식 산출내역 [자동]"/>
    <x:tableColumn id="8" name="세부 품목"/>
    <x:tableColumn id="9" name="제품명·모델·규격"/>
    <x:tableColumn id="10" name="연계 MAT·BOM·WBS"/>
    <x:tableColumn id="11" name="사용목적·Gate·메모"/>
    <x:tableColumn id="12" name="공급처"/>
    <x:tableColumn id="13" name="제품·견적 URL"/>
    <x:tableColumn id="14" name="구매 예정일"/>
    <x:tableColumn id="15" name="계획수량"/>
    <x:tableColumn id="16" name="단위"/>
    <x:tableColumn id="17" name="계획단가(원)"/>
    <x:tableColumn id="18" name="계획금액(원) [자동]"/>
    <x:tableColumn id="19" name="부가세 구분"/>
    <x:tableColumn id="20" name="선정견적액(원)"/>
    <x:tableColumn id="21" name="계약·발주액(원)"/>
    <x:tableColumn id="22" name="발주·계약일"/>
    <x:tableColumn id="23" name="실구매수량"/>
    <x:tableColumn id="24" name="실구매단가(원)"/>
    <x:tableColumn id="25" name="실구매액(원) [자동]"/>
    <x:tableColumn id="26" name="실구매일"/>
    <x:tableColumn id="27" name="계획대비차액(원) [자동]"/>
    <x:tableColumn id="28" name="구매계획 전망액(원) [자동]"/>
    <x:tableColumn id="29" name="공급가액(원)"/>
    <x:tableColumn id="30" name="부가세액(원)"/>
    <x:tableColumn id="31" name="조정·환입액(원)"/>
    <x:tableColumn id="32" name="인정집행액(원) [자동]"/>
    <x:tableColumn id="33" name="지급일"/>
    <x:tableColumn id="34" name="미지급액(원) [자동]"/>
    <x:tableColumn id="35" name="정산상태"/>
    <x:tableColumn id="36" name="주문주체"/>
    <x:tableColumn id="37" name="요청부서"/>
    <x:tableColumn id="38" name="구매담당"/>
    <x:tableColumn id="39" name="기술검수자"/>
    <x:tableColumn id="40" name="증빙ID"/>
    <x:tableColumn id="41" name="설치·수행장소"/>
    <x:tableColumn id="42" name="비고"/>
    <x:tableColumn id="43" name="점검 [자동]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monApprovedBudgetBaselineV11" displayName="CommonApprovedBudgetBaselineV11" ref="A6:S66" headerRowCount="1" totalsRowCount="0" totalsRowShown="0">
  <x:tableColumns count="19">
    <x:tableColumn id="1" name="예산라인ID"/>
    <x:tableColumn id="2" name="비목"/>
    <x:tableColumn id="3" name="관리유형"/>
    <x:tableColumn id="4" name="공식 산출내역"/>
    <x:tableColumn id="5" name="계획단가(원)"/>
    <x:tableColumn id="6" name="계획수량"/>
    <x:tableColumn id="7" name="승인예산(원)"/>
    <x:tableColumn id="8" name="전체 세부계획(원) [자동]"/>
    <x:tableColumn id="9" name="구매계획 전망(원) [자동]"/>
    <x:tableColumn id="10" name="실구매·수행(원) [자동]"/>
    <x:tableColumn id="11" name="인정집행(원) [자동]"/>
    <x:tableColumn id="12" name="계획후잔액(원) [자동]"/>
    <x:tableColumn id="13" name="전망잔액(원) [자동]"/>
    <x:tableColumn id="14" name="실구매후잔액(원) [자동]"/>
    <x:tableColumn id="15" name="예산잔액(원) [자동]"/>
    <x:tableColumn id="16" name="집행률 [자동]"/>
    <x:tableColumn id="17" name="상태 [자동]"/>
    <x:tableColumn id="18" name="기준문서"/>
    <x:tableColumn id="19" name="통제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5c2ebbc8f94a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f235161a7c44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4e14a3595e4b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5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4" hidden="0" customWidth="1"/>
    <x:col min="9" max="9" width="14" hidden="0" customWidth="1"/>
    <x:col min="10" max="10" width="3" hidden="0" customWidth="1"/>
    <x:col min="11" max="11" width="18" hidden="0" customWidth="1"/>
    <x:col min="12" max="12" width="14" hidden="0" customWidth="1"/>
    <x:col min="13" max="13" width="16" hidden="0" customWidth="1"/>
    <x:col min="14" max="14" width="19" hidden="0" customWidth="1"/>
  </x:cols>
  <x:sheetData>
    <x:row r="1" ht="34" customHeight="1">
      <x:c r="A1" s="3" t="str">
        <x:v>사업비·구매비용 공통관리대장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AX1 공통양식 v1.1 | 노란색은 입력, 파란색은 자동 계산 | 금액 단위: 원 · 표시: ₩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2" t="str">
        <x:v>총 승인예산</x:v>
      </x:c>
      <x:c r="B4" s="12"/>
      <x:c r="C4" s="12" t="str">
        <x:v>전체 세부계획</x:v>
      </x:c>
      <x:c r="D4" s="12"/>
      <x:c r="E4" s="12" t="str">
        <x:v>구매계획 전망</x:v>
      </x:c>
      <x:c r="F4" s="12"/>
      <x:c r="G4" s="12" t="str">
        <x:v>실구매·수행액</x:v>
      </x:c>
      <x:c r="H4" s="12"/>
      <x:c r="I4" s="12" t="str">
        <x:v>인정집행액</x:v>
      </x:c>
      <x:c r="J4" s="12"/>
      <x:c r="K4" s="12" t="str">
        <x:v>전망잔액</x:v>
      </x:c>
      <x:c r="L4" s="12"/>
    </x:row>
    <x:row r="5">
      <x:c r="A5" s="17" t="n">
        <x:f>SUM('02_승인예산'!$G$7:$G$66)</x:f>
        <x:v>0</x:v>
      </x:c>
      <x:c r="B5" s="17"/>
      <x:c r="C5" s="17" t="n">
        <x:f>SUM('02_승인예산'!$H$7:$H$66)</x:f>
        <x:v>0</x:v>
      </x:c>
      <x:c r="D5" s="17"/>
      <x:c r="E5" s="17" t="n">
        <x:f>SUM('02_승인예산'!$I$7:$I$66)</x:f>
        <x:v>0</x:v>
      </x:c>
      <x:c r="F5" s="17"/>
      <x:c r="G5" s="17" t="n">
        <x:f>SUM('02_승인예산'!$J$7:$J$66)</x:f>
        <x:v>0</x:v>
      </x:c>
      <x:c r="H5" s="17"/>
      <x:c r="I5" s="17" t="n">
        <x:f>SUM('02_승인예산'!$K$7:$K$66)</x:f>
        <x:v>0</x:v>
      </x:c>
      <x:c r="J5" s="17"/>
      <x:c r="K5" s="23" t="n">
        <x:f>SUM('02_승인예산'!$M$7:$M$66)</x:f>
        <x:v>0</x:v>
      </x:c>
      <x:c r="L5" s="23"/>
    </x:row>
    <x:row r="6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23"/>
      <x:c r="L6" s="23"/>
    </x:row>
    <x:row r="8" ht="34" customHeight="1">
      <x:c r="A8" s="28" t="str">
        <x:v>비목별 승인·계획·집행·잔액</x:v>
      </x:c>
      <x:c r="B8" s="28"/>
      <x:c r="C8" s="28"/>
      <x:c r="D8" s="28"/>
      <x:c r="E8" s="28"/>
      <x:c r="F8" s="28"/>
      <x:c r="G8" s="28"/>
      <x:c r="H8" s="28"/>
      <x:c r="I8" s="28"/>
      <x:c r="K8" s="28" t="str">
        <x:v>진행단계 현황</x:v>
      </x:c>
      <x:c r="L8" s="28"/>
      <x:c r="M8" s="28"/>
      <x:c r="N8" s="28"/>
    </x:row>
    <x:row r="9" ht="34" customHeight="1">
      <x:c r="A9" s="31" t="str">
        <x:v>비목</x:v>
      </x:c>
      <x:c r="B9" s="31" t="str">
        <x:v>승인예산</x:v>
      </x:c>
      <x:c r="C9" s="31" t="str">
        <x:v>전체 세부계획</x:v>
      </x:c>
      <x:c r="D9" s="31" t="str">
        <x:v>구매계획 전망</x:v>
      </x:c>
      <x:c r="E9" s="31" t="str">
        <x:v>실구매·수행</x:v>
      </x:c>
      <x:c r="F9" s="31" t="str">
        <x:v>인정집행</x:v>
      </x:c>
      <x:c r="G9" s="31" t="str">
        <x:v>전망잔액</x:v>
      </x:c>
      <x:c r="H9" s="31" t="str">
        <x:v>예산잔액</x:v>
      </x:c>
      <x:c r="I9" s="31" t="str">
        <x:v>판정</x:v>
      </x:c>
      <x:c r="K9" s="31" t="str">
        <x:v>진행단계</x:v>
      </x:c>
      <x:c r="L9" s="31" t="str">
        <x:v>건수</x:v>
      </x:c>
      <x:c r="M9" s="31" t="str">
        <x:v>구매계획 전망액</x:v>
      </x:c>
    </x:row>
    <x:row r="10">
      <x:c r="A10" s="37" t="str">
        <x:v>인건비</x:v>
      </x:c>
      <x:c r="B10" s="40" t="n">
        <x:f>SUMIF('02_승인예산'!$B$7:$B$66,A10,'02_승인예산'!$G$7:$G$66)</x:f>
        <x:v>0</x:v>
      </x:c>
      <x:c r="C10" s="40" t="n">
        <x:f>SUMIF('02_승인예산'!$B$7:$B$66,A10,'02_승인예산'!$H$7:$H$66)</x:f>
        <x:v>0</x:v>
      </x:c>
      <x:c r="D10" s="40" t="n">
        <x:f>SUMIF('02_승인예산'!$B$7:$B$66,A10,'02_승인예산'!$I$7:$I$66)</x:f>
        <x:v>0</x:v>
      </x:c>
      <x:c r="E10" s="40" t="n">
        <x:f>SUMIF('02_승인예산'!$B$7:$B$66,A10,'02_승인예산'!$J$7:$J$66)</x:f>
        <x:v>0</x:v>
      </x:c>
      <x:c r="F10" s="40" t="n">
        <x:f>SUMIF('02_승인예산'!$B$7:$B$66,A10,'02_승인예산'!$K$7:$K$66)</x:f>
        <x:v>0</x:v>
      </x:c>
      <x:c r="G10" s="40" t="n">
        <x:f>SUMIF('02_승인예산'!$B$7:$B$66,A10,'02_승인예산'!$M$7:$M$66)</x:f>
        <x:v>0</x:v>
      </x:c>
      <x:c r="H10" s="40" t="n">
        <x:f>SUMIF('02_승인예산'!$B$7:$B$66,A10,'02_승인예산'!$O$7:$O$66)</x:f>
        <x:v>0</x:v>
      </x:c>
      <x:c r="I10" s="43" t="str">
        <x:f>IF(B10=0,"미등록",IF(COUNTIFS('02_승인예산'!$B$7:$B$66,A10,'02_승인예산'!$L$7:$L$66,"&lt;0")+COUNTIFS('02_승인예산'!$B$7:$B$66,A10,'02_승인예산'!$M$7:$M$66,"&lt;0")+COUNTIFS('02_승인예산'!$B$7:$B$66,A10,'02_승인예산'!$N$7:$N$66,"&lt;0")+COUNTIFS('02_승인예산'!$B$7:$B$66,A10,'02_승인예산'!$O$7:$O$66,"&lt;0")&gt;0,"확인 필요",IF(F10&gt;0,"집행중","미집행")))</x:f>
        <x:v>미등록</x:v>
      </x:c>
      <x:c r="K10" s="37" t="str">
        <x:v>검토중</x:v>
      </x:c>
      <x:c r="L10" s="47" t="n">
        <x:f>COUNTIF('01_구매비용원장'!$B$7:$B$156,K10)</x:f>
        <x:v>0</x:v>
      </x:c>
      <x:c r="M10" s="40" t="n">
        <x:f>SUMIF('01_구매비용원장'!$B$7:$B$156,K10,'01_구매비용원장'!$AB$7:$AB$156)</x:f>
        <x:v>0</x:v>
      </x:c>
    </x:row>
    <x:row r="11">
      <x:c r="A11" s="37" t="str">
        <x:v>연구시설·장비비</x:v>
      </x:c>
      <x:c r="B11" s="40" t="n">
        <x:f>SUMIF('02_승인예산'!$B$7:$B$66,A11,'02_승인예산'!$G$7:$G$66)</x:f>
        <x:v>0</x:v>
      </x:c>
      <x:c r="C11" s="40" t="n">
        <x:f>SUMIF('02_승인예산'!$B$7:$B$66,A11,'02_승인예산'!$H$7:$H$66)</x:f>
        <x:v>0</x:v>
      </x:c>
      <x:c r="D11" s="40" t="n">
        <x:f>SUMIF('02_승인예산'!$B$7:$B$66,A11,'02_승인예산'!$I$7:$I$66)</x:f>
        <x:v>0</x:v>
      </x:c>
      <x:c r="E11" s="40" t="n">
        <x:f>SUMIF('02_승인예산'!$B$7:$B$66,A11,'02_승인예산'!$J$7:$J$66)</x:f>
        <x:v>0</x:v>
      </x:c>
      <x:c r="F11" s="40" t="n">
        <x:f>SUMIF('02_승인예산'!$B$7:$B$66,A11,'02_승인예산'!$K$7:$K$66)</x:f>
        <x:v>0</x:v>
      </x:c>
      <x:c r="G11" s="40" t="n">
        <x:f>SUMIF('02_승인예산'!$B$7:$B$66,A11,'02_승인예산'!$M$7:$M$66)</x:f>
        <x:v>0</x:v>
      </x:c>
      <x:c r="H11" s="40" t="n">
        <x:f>SUMIF('02_승인예산'!$B$7:$B$66,A11,'02_승인예산'!$O$7:$O$66)</x:f>
        <x:v>0</x:v>
      </x:c>
      <x:c r="I11" s="43" t="str">
        <x:f>IF(B11=0,"미등록",IF(COUNTIFS('02_승인예산'!$B$7:$B$66,A11,'02_승인예산'!$L$7:$L$66,"&lt;0")+COUNTIFS('02_승인예산'!$B$7:$B$66,A11,'02_승인예산'!$M$7:$M$66,"&lt;0")+COUNTIFS('02_승인예산'!$B$7:$B$66,A11,'02_승인예산'!$N$7:$N$66,"&lt;0")+COUNTIFS('02_승인예산'!$B$7:$B$66,A11,'02_승인예산'!$O$7:$O$66,"&lt;0")&gt;0,"확인 필요",IF(F11&gt;0,"집행중","미집행")))</x:f>
        <x:v>미등록</x:v>
      </x:c>
      <x:c r="K11" s="37" t="str">
        <x:v>견적/비교중</x:v>
      </x:c>
      <x:c r="L11" s="47" t="n">
        <x:f>COUNTIF('01_구매비용원장'!$B$7:$B$156,K11)</x:f>
        <x:v>0</x:v>
      </x:c>
      <x:c r="M11" s="40" t="n">
        <x:f>SUMIF('01_구매비용원장'!$B$7:$B$156,K11,'01_구매비용원장'!$AB$7:$AB$156)</x:f>
        <x:v>0</x:v>
      </x:c>
    </x:row>
    <x:row r="12">
      <x:c r="A12" s="37" t="str">
        <x:v>연구재료비</x:v>
      </x:c>
      <x:c r="B12" s="40" t="n">
        <x:f>SUMIF('02_승인예산'!$B$7:$B$66,A12,'02_승인예산'!$G$7:$G$66)</x:f>
        <x:v>0</x:v>
      </x:c>
      <x:c r="C12" s="40" t="n">
        <x:f>SUMIF('02_승인예산'!$B$7:$B$66,A12,'02_승인예산'!$H$7:$H$66)</x:f>
        <x:v>0</x:v>
      </x:c>
      <x:c r="D12" s="40" t="n">
        <x:f>SUMIF('02_승인예산'!$B$7:$B$66,A12,'02_승인예산'!$I$7:$I$66)</x:f>
        <x:v>0</x:v>
      </x:c>
      <x:c r="E12" s="40" t="n">
        <x:f>SUMIF('02_승인예산'!$B$7:$B$66,A12,'02_승인예산'!$J$7:$J$66)</x:f>
        <x:v>0</x:v>
      </x:c>
      <x:c r="F12" s="40" t="n">
        <x:f>SUMIF('02_승인예산'!$B$7:$B$66,A12,'02_승인예산'!$K$7:$K$66)</x:f>
        <x:v>0</x:v>
      </x:c>
      <x:c r="G12" s="40" t="n">
        <x:f>SUMIF('02_승인예산'!$B$7:$B$66,A12,'02_승인예산'!$M$7:$M$66)</x:f>
        <x:v>0</x:v>
      </x:c>
      <x:c r="H12" s="40" t="n">
        <x:f>SUMIF('02_승인예산'!$B$7:$B$66,A12,'02_승인예산'!$O$7:$O$66)</x:f>
        <x:v>0</x:v>
      </x:c>
      <x:c r="I12" s="43" t="str">
        <x:f>IF(B12=0,"미등록",IF(COUNTIFS('02_승인예산'!$B$7:$B$66,A12,'02_승인예산'!$L$7:$L$66,"&lt;0")+COUNTIFS('02_승인예산'!$B$7:$B$66,A12,'02_승인예산'!$M$7:$M$66,"&lt;0")+COUNTIFS('02_승인예산'!$B$7:$B$66,A12,'02_승인예산'!$N$7:$N$66,"&lt;0")+COUNTIFS('02_승인예산'!$B$7:$B$66,A12,'02_승인예산'!$O$7:$O$66,"&lt;0")&gt;0,"확인 필요",IF(F12&gt;0,"집행중","미집행")))</x:f>
        <x:v>미등록</x:v>
      </x:c>
      <x:c r="K12" s="37" t="str">
        <x:v>승인대기</x:v>
      </x:c>
      <x:c r="L12" s="47" t="n">
        <x:f>COUNTIF('01_구매비용원장'!$B$7:$B$156,K12)</x:f>
        <x:v>0</x:v>
      </x:c>
      <x:c r="M12" s="40" t="n">
        <x:f>SUMIF('01_구매비용원장'!$B$7:$B$156,K12,'01_구매비용원장'!$AB$7:$AB$156)</x:f>
        <x:v>0</x:v>
      </x:c>
    </x:row>
    <x:row r="13">
      <x:c r="A13" s="37" t="str">
        <x:v>연구활동비</x:v>
      </x:c>
      <x:c r="B13" s="40" t="n">
        <x:f>SUMIF('02_승인예산'!$B$7:$B$66,A13,'02_승인예산'!$G$7:$G$66)</x:f>
        <x:v>0</x:v>
      </x:c>
      <x:c r="C13" s="40" t="n">
        <x:f>SUMIF('02_승인예산'!$B$7:$B$66,A13,'02_승인예산'!$H$7:$H$66)</x:f>
        <x:v>0</x:v>
      </x:c>
      <x:c r="D13" s="40" t="n">
        <x:f>SUMIF('02_승인예산'!$B$7:$B$66,A13,'02_승인예산'!$I$7:$I$66)</x:f>
        <x:v>0</x:v>
      </x:c>
      <x:c r="E13" s="40" t="n">
        <x:f>SUMIF('02_승인예산'!$B$7:$B$66,A13,'02_승인예산'!$J$7:$J$66)</x:f>
        <x:v>0</x:v>
      </x:c>
      <x:c r="F13" s="40" t="n">
        <x:f>SUMIF('02_승인예산'!$B$7:$B$66,A13,'02_승인예산'!$K$7:$K$66)</x:f>
        <x:v>0</x:v>
      </x:c>
      <x:c r="G13" s="40" t="n">
        <x:f>SUMIF('02_승인예산'!$B$7:$B$66,A13,'02_승인예산'!$M$7:$M$66)</x:f>
        <x:v>0</x:v>
      </x:c>
      <x:c r="H13" s="40" t="n">
        <x:f>SUMIF('02_승인예산'!$B$7:$B$66,A13,'02_승인예산'!$O$7:$O$66)</x:f>
        <x:v>0</x:v>
      </x:c>
      <x:c r="I13" s="43" t="str">
        <x:f>IF(B13=0,"미등록",IF(COUNTIFS('02_승인예산'!$B$7:$B$66,A13,'02_승인예산'!$L$7:$L$66,"&lt;0")+COUNTIFS('02_승인예산'!$B$7:$B$66,A13,'02_승인예산'!$M$7:$M$66,"&lt;0")+COUNTIFS('02_승인예산'!$B$7:$B$66,A13,'02_승인예산'!$N$7:$N$66,"&lt;0")+COUNTIFS('02_승인예산'!$B$7:$B$66,A13,'02_승인예산'!$O$7:$O$66,"&lt;0")&gt;0,"확인 필요",IF(F13&gt;0,"집행중","미집행")))</x:f>
        <x:v>미등록</x:v>
      </x:c>
      <x:c r="K13" s="37" t="str">
        <x:v>주문/계약완료</x:v>
      </x:c>
      <x:c r="L13" s="47" t="n">
        <x:f>COUNTIF('01_구매비용원장'!$B$7:$B$156,K13)</x:f>
        <x:v>0</x:v>
      </x:c>
      <x:c r="M13" s="40" t="n">
        <x:f>SUMIF('01_구매비용원장'!$B$7:$B$156,K13,'01_구매비용원장'!$AB$7:$AB$156)</x:f>
        <x:v>0</x:v>
      </x:c>
    </x:row>
    <x:row r="14">
      <x:c r="A14" s="37" t="str">
        <x:v>연구수당</x:v>
      </x:c>
      <x:c r="B14" s="40" t="n">
        <x:f>SUMIF('02_승인예산'!$B$7:$B$66,A14,'02_승인예산'!$G$7:$G$66)</x:f>
        <x:v>0</x:v>
      </x:c>
      <x:c r="C14" s="40" t="n">
        <x:f>SUMIF('02_승인예산'!$B$7:$B$66,A14,'02_승인예산'!$H$7:$H$66)</x:f>
        <x:v>0</x:v>
      </x:c>
      <x:c r="D14" s="40" t="n">
        <x:f>SUMIF('02_승인예산'!$B$7:$B$66,A14,'02_승인예산'!$I$7:$I$66)</x:f>
        <x:v>0</x:v>
      </x:c>
      <x:c r="E14" s="40" t="n">
        <x:f>SUMIF('02_승인예산'!$B$7:$B$66,A14,'02_승인예산'!$J$7:$J$66)</x:f>
        <x:v>0</x:v>
      </x:c>
      <x:c r="F14" s="40" t="n">
        <x:f>SUMIF('02_승인예산'!$B$7:$B$66,A14,'02_승인예산'!$K$7:$K$66)</x:f>
        <x:v>0</x:v>
      </x:c>
      <x:c r="G14" s="40" t="n">
        <x:f>SUMIF('02_승인예산'!$B$7:$B$66,A14,'02_승인예산'!$M$7:$M$66)</x:f>
        <x:v>0</x:v>
      </x:c>
      <x:c r="H14" s="40" t="n">
        <x:f>SUMIF('02_승인예산'!$B$7:$B$66,A14,'02_승인예산'!$O$7:$O$66)</x:f>
        <x:v>0</x:v>
      </x:c>
      <x:c r="I14" s="43" t="str">
        <x:f>IF(B14=0,"미등록",IF(COUNTIFS('02_승인예산'!$B$7:$B$66,A14,'02_승인예산'!$L$7:$L$66,"&lt;0")+COUNTIFS('02_승인예산'!$B$7:$B$66,A14,'02_승인예산'!$M$7:$M$66,"&lt;0")+COUNTIFS('02_승인예산'!$B$7:$B$66,A14,'02_승인예산'!$N$7:$N$66,"&lt;0")+COUNTIFS('02_승인예산'!$B$7:$B$66,A14,'02_승인예산'!$O$7:$O$66,"&lt;0")&gt;0,"확인 필요",IF(F14&gt;0,"집행중","미집행")))</x:f>
        <x:v>미등록</x:v>
      </x:c>
      <x:c r="K14" s="37" t="str">
        <x:v>납품/수행중</x:v>
      </x:c>
      <x:c r="L14" s="47" t="n">
        <x:f>COUNTIF('01_구매비용원장'!$B$7:$B$156,K14)</x:f>
        <x:v>0</x:v>
      </x:c>
      <x:c r="M14" s="40" t="n">
        <x:f>SUMIF('01_구매비용원장'!$B$7:$B$156,K14,'01_구매비용원장'!$AB$7:$AB$156)</x:f>
        <x:v>0</x:v>
      </x:c>
    </x:row>
    <x:row r="15">
      <x:c r="A15" s="44" t="str">
        <x:v>합계</x:v>
      </x:c>
      <x:c r="B15" s="45" t="n">
        <x:f>SUM(B10:B14)</x:f>
        <x:v>0</x:v>
      </x:c>
      <x:c r="C15" s="45" t="n">
        <x:f>SUM(C10:C14)</x:f>
        <x:v>0</x:v>
      </x:c>
      <x:c r="D15" s="45" t="n">
        <x:f>SUM(D10:D14)</x:f>
        <x:v>0</x:v>
      </x:c>
      <x:c r="E15" s="45" t="n">
        <x:f>SUM(E10:E14)</x:f>
        <x:v>0</x:v>
      </x:c>
      <x:c r="F15" s="45" t="n">
        <x:f>SUM(F10:F14)</x:f>
        <x:v>0</x:v>
      </x:c>
      <x:c r="G15" s="45" t="n">
        <x:f>SUM(G10:G14)</x:f>
        <x:v>0</x:v>
      </x:c>
      <x:c r="H15" s="45" t="n">
        <x:f>SUM(H10:H14)</x:f>
        <x:v>0</x:v>
      </x:c>
      <x:c r="I15" s="46" t="str">
        <x:f>IF(COUNTIF('02_승인예산'!$L$7:$L$66,"&lt;0")+COUNTIF('02_승인예산'!$M$7:$M$66,"&lt;0")+COUNTIF('02_승인예산'!$N$7:$N$66,"&lt;0")+COUNTIF('02_승인예산'!$O$7:$O$66,"&lt;0")&gt;0,"확인 필요","정상")</x:f>
        <x:v>정상</x:v>
      </x:c>
      <x:c r="K15" s="37" t="str">
        <x:v>완료</x:v>
      </x:c>
      <x:c r="L15" s="47" t="n">
        <x:f>COUNTIF('01_구매비용원장'!$B$7:$B$156,K15)</x:f>
        <x:v>0</x:v>
      </x:c>
      <x:c r="M15" s="40" t="n">
        <x:f>SUMIF('01_구매비용원장'!$B$7:$B$156,K15,'01_구매비용원장'!$AB$7:$AB$156)</x:f>
        <x:v>0</x:v>
      </x:c>
    </x:row>
    <x:row r="16">
      <x:c r="K16" s="37" t="str">
        <x:v>보유확인</x:v>
      </x:c>
      <x:c r="L16" s="47" t="n">
        <x:f>COUNTIF('01_구매비용원장'!$B$7:$B$156,K16)</x:f>
        <x:v>0</x:v>
      </x:c>
      <x:c r="M16" s="40" t="n">
        <x:f>SUMIF('01_구매비용원장'!$B$7:$B$156,K16,'01_구매비용원장'!$AB$7:$AB$156)</x:f>
        <x:v>0</x:v>
      </x:c>
    </x:row>
    <x:row r="17">
      <x:c r="K17" s="37" t="str">
        <x:v>보류</x:v>
      </x:c>
      <x:c r="L17" s="47" t="n">
        <x:f>COUNTIF('01_구매비용원장'!$B$7:$B$156,K17)</x:f>
        <x:v>0</x:v>
      </x:c>
      <x:c r="M17" s="40" t="n">
        <x:f>SUMIF('01_구매비용원장'!$B$7:$B$156,K17,'01_구매비용원장'!$AB$7:$AB$156)</x:f>
        <x:v>0</x:v>
      </x:c>
    </x:row>
    <x:row r="18" ht="34" customHeight="1">
      <x:c r="A18" s="28" t="str">
        <x:v>자동 점검 — 경고는 삭제하지 말고 원장이나 승인예산에서 원인을 해소</x:v>
      </x:c>
      <x:c r="B18" s="28"/>
      <x:c r="C18" s="28"/>
      <x:c r="D18" s="28"/>
      <x:c r="E18" s="28"/>
      <x:c r="F18" s="28"/>
      <x:c r="G18" s="28"/>
      <x:c r="H18" s="28"/>
      <x:c r="I18" s="28"/>
      <x:c r="K18" s="37" t="str">
        <x:v>취소</x:v>
      </x:c>
      <x:c r="L18" s="47" t="n">
        <x:f>COUNTIF('01_구매비용원장'!$B$7:$B$156,K18)</x:f>
        <x:v>0</x:v>
      </x:c>
      <x:c r="M18" s="40" t="n">
        <x:f>SUMIF('01_구매비용원장'!$B$7:$B$156,K18,'01_구매비용원장'!$AB$7:$AB$156)</x:f>
        <x:v>0</x:v>
      </x:c>
    </x:row>
    <x:row r="19" ht="34" customHeight="1">
      <x:c r="A19" s="31" t="str">
        <x:v>점검ID</x:v>
      </x:c>
      <x:c r="B19" s="31" t="str">
        <x:v>점검 항목</x:v>
      </x:c>
      <x:c r="C19" s="31"/>
      <x:c r="D19" s="31"/>
      <x:c r="E19" s="31" t="str">
        <x:v>현재값</x:v>
      </x:c>
      <x:c r="F19" s="31" t="str">
        <x:v>판정</x:v>
      </x:c>
      <x:c r="G19" s="31"/>
      <x:c r="H19" s="31"/>
      <x:c r="I19" s="31" t="str">
        <x:v>조치</x:v>
      </x:c>
    </x:row>
    <x:row r="20" ht="34" customHeight="1">
      <x:c r="A20" s="37" t="str">
        <x:v>CK-01</x:v>
      </x:c>
      <x:c r="B20" s="37" t="str">
        <x:v>예산라인 미연결</x:v>
      </x:c>
      <x:c r="C20" s="37"/>
      <x:c r="D20" s="37"/>
      <x:c r="E20" s="48" t="n">
        <x:f>COUNTIFS('01_구매비용원장'!$A$7:$A$156,"&lt;&gt;",'01_구매비용원장'!$F$7:$F$156,"")</x:f>
        <x:v>0</x:v>
      </x:c>
      <x:c r="F20" s="43" t="str">
        <x:f>IF(E20=0,"PASS","CHECK")</x:f>
        <x:v>PASS</x:v>
      </x:c>
      <x:c r="G20" s="43"/>
      <x:c r="H20" s="43"/>
      <x:c r="I20" s="36" t="str">
        <x:v>예산라인ID 선택</x:v>
      </x:c>
      <x:c r="K20" s="28" t="str">
        <x:v>핵심 금액 정의</x:v>
      </x:c>
      <x:c r="L20" s="28"/>
      <x:c r="M20" s="28"/>
      <x:c r="N20" s="28"/>
    </x:row>
    <x:row r="21">
      <x:c r="A21" s="37" t="str">
        <x:v>CK-02</x:v>
      </x:c>
      <x:c r="B21" s="37" t="str">
        <x:v>계획ID 중복</x:v>
      </x:c>
      <x:c r="C21" s="37"/>
      <x:c r="D21" s="37"/>
      <x:c r="E21" s="48" t="n">
        <x:f>COUNTIF('01_구매비용원장'!$AQ$7:$AQ$156,"*ID 중복*")</x:f>
        <x:v>0</x:v>
      </x:c>
      <x:c r="F21" s="43" t="str">
        <x:f>IF(E21=0,"PASS","CHECK")</x:f>
        <x:v>PASS</x:v>
      </x:c>
      <x:c r="G21" s="43"/>
      <x:c r="H21" s="43"/>
      <x:c r="I21" s="36" t="str">
        <x:v>계획ID 중복 해소</x:v>
      </x:c>
      <x:c r="K21" s="49" t="str">
        <x:v>전체 세부계획</x:v>
      </x:c>
      <x:c r="L21" s="36" t="str">
        <x:v>원장의 모든 계획금액 합계</x:v>
      </x:c>
      <x:c r="M21" s="36"/>
      <x:c r="N21" s="36" t="str">
        <x:v>중장기 구매 범위</x:v>
      </x:c>
    </x:row>
    <x:row r="22">
      <x:c r="A22" s="37" t="str">
        <x:v>CK-03</x:v>
      </x:c>
      <x:c r="B22" s="37" t="str">
        <x:v>승인예산 초과 상태</x:v>
      </x:c>
      <x:c r="C22" s="37"/>
      <x:c r="D22" s="37"/>
      <x:c r="E22" s="48" t="n">
        <x:f>COUNTIF('02_승인예산'!$L$7:$L$66,"&lt;0")+COUNTIF('02_승인예산'!$M$7:$M$66,"&lt;0")+COUNTIF('02_승인예산'!$N$7:$N$66,"&lt;0")+COUNTIF('02_승인예산'!$O$7:$O$66,"&lt;0")</x:f>
        <x:v>0</x:v>
      </x:c>
      <x:c r="F22" s="43" t="str">
        <x:f>IF(E22=0,"PASS","CHECK")</x:f>
        <x:v>PASS</x:v>
      </x:c>
      <x:c r="G22" s="43"/>
      <x:c r="H22" s="43"/>
      <x:c r="I22" s="36" t="str">
        <x:v>라인 간 조정·승인 검토</x:v>
      </x:c>
      <x:c r="K22" s="49" t="str">
        <x:v>구매계획 전망</x:v>
      </x:c>
      <x:c r="L22" s="36" t="str">
        <x:v>원장의 구매계획 전체를 최신 단계금액으로 합산</x:v>
      </x:c>
      <x:c r="M22" s="36"/>
      <x:c r="N22" s="36" t="str">
        <x:v>계획 전체 전망</x:v>
      </x:c>
    </x:row>
    <x:row r="23">
      <x:c r="A23" s="37" t="str">
        <x:v>CK-04</x:v>
      </x:c>
      <x:c r="B23" s="37" t="str">
        <x:v>구매일·지급일·증빙 누락</x:v>
      </x:c>
      <x:c r="C23" s="37"/>
      <x:c r="D23" s="37"/>
      <x:c r="E23" s="48" t="n">
        <x:f>COUNTIFS('01_구매비용원장'!$Y$7:$Y$156,"&lt;&gt;",'01_구매비용원장'!$Z$7:$Z$156,"")+COUNTIFS('01_구매비용원장'!$AF$7:$AF$156,"&lt;&gt;",'01_구매비용원장'!$AG$7:$AG$156,"")+COUNTIFS('01_구매비용원장'!$AF$7:$AF$156,"&lt;&gt;",'01_구매비용원장'!$AN$7:$AN$156,"")</x:f>
        <x:v>0</x:v>
      </x:c>
      <x:c r="F23" s="43" t="str">
        <x:f>IF(E23=0,"PASS","CHECK")</x:f>
        <x:v>PASS</x:v>
      </x:c>
      <x:c r="G23" s="43"/>
      <x:c r="H23" s="43"/>
      <x:c r="I23" s="36" t="str">
        <x:v>누락 일자·증빙 연결</x:v>
      </x:c>
      <x:c r="K23" s="49" t="str">
        <x:v>실구매·수행액</x:v>
      </x:c>
      <x:c r="L23" s="36" t="str">
        <x:v>실수량×실단가×VAT</x:v>
      </x:c>
      <x:c r="M23" s="36"/>
      <x:c r="N23" s="36" t="str">
        <x:v>발주·납품 결과</x:v>
      </x:c>
    </x:row>
    <x:row r="24">
      <x:c r="A24" s="37" t="str">
        <x:v>CK-05</x:v>
      </x:c>
      <x:c r="B24" s="37" t="str">
        <x:v>원장 오류</x:v>
      </x:c>
      <x:c r="C24" s="37"/>
      <x:c r="D24" s="37"/>
      <x:c r="E24" s="48" t="n">
        <x:f>COUNTIF('01_구매비용원장'!$Y$7:$Y$156,"&lt;0")+COUNTIF('01_구매비용원장'!$AF$7:$AF$156,"&lt;0")</x:f>
        <x:v>0</x:v>
      </x:c>
      <x:c r="F24" s="43" t="str">
        <x:f>IF(E24=0,"PASS","CHECK")</x:f>
        <x:v>PASS</x:v>
      </x:c>
      <x:c r="G24" s="43"/>
      <x:c r="H24" s="43"/>
      <x:c r="I24" s="36" t="str">
        <x:v>수량·금액·코드 확인</x:v>
      </x:c>
      <x:c r="K24" s="49" t="str">
        <x:v>인정집행액</x:v>
      </x:c>
      <x:c r="L24" s="36" t="str">
        <x:v>공급가+VAT+조정·환입</x:v>
      </x:c>
      <x:c r="M24" s="36"/>
      <x:c r="N24" s="36" t="str">
        <x:v>정산·예산잔액</x:v>
      </x:c>
    </x:row>
    <x:row r="25">
      <x:c r="K25" s="49" t="str">
        <x:v>전망잔액</x:v>
      </x:c>
      <x:c r="L25" s="36" t="str">
        <x:v>승인예산-구매계획 전망</x:v>
      </x:c>
      <x:c r="M25" s="36"/>
      <x:c r="N25" s="36" t="str">
        <x:v>중복 차감 없음</x:v>
      </x:c>
    </x:row>
    <x:row r="27" ht="30" customHeight="1">
      <x:c r="A27" s="54" t="str">
        <x:v>운영 원칙: 승인예산을 먼저 등록한 뒤 구매비용원장에서 예산라인ID를 연결합니다. 구매계획에 등록한 품목은 기본적으로 전망에 포함하며, 취소하거나 구매하지 않는 건만 ‘제외’로 표시합니다.</x:v>
      </x:c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</x:row>
    <x:row r="29" ht="24" customHeight="1">
      <x:c r="A29" s="103" t="str">
        <x:v>비목별 승인예산·구매계획 전망·실구매액</x:v>
      </x:c>
      <x:c r="B29" s="103"/>
      <x:c r="C29" s="103"/>
      <x:c r="D29" s="103"/>
      <x:c r="E29" s="103"/>
      <x:c r="F29" s="103"/>
      <x:c r="G29" s="103"/>
      <x:c r="H29" s="103"/>
      <x:c r="I29" s="103"/>
      <x:c r="J29" s="103"/>
      <x:c r="K29" s="103"/>
      <x:c r="L29" s="103"/>
      <x:c r="M29" s="103"/>
      <x:c r="N29" s="103"/>
    </x:row>
  </x:sheetData>
  <x:mergeCells>
    <x:mergeCell ref="A1:N1"/>
    <x:mergeCell ref="A2:N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8:I8"/>
    <x:mergeCell ref="K8:N8"/>
    <x:mergeCell ref="A18:I18"/>
    <x:mergeCell ref="B19:D19"/>
    <x:mergeCell ref="F19:H19"/>
    <x:mergeCell ref="B20:D20"/>
    <x:mergeCell ref="F20:H20"/>
    <x:mergeCell ref="B21:D21"/>
    <x:mergeCell ref="F21:H21"/>
    <x:mergeCell ref="B22:D22"/>
    <x:mergeCell ref="F22:H22"/>
    <x:mergeCell ref="B23:D23"/>
    <x:mergeCell ref="F23:H23"/>
    <x:mergeCell ref="B24:D24"/>
    <x:mergeCell ref="F24:H24"/>
    <x:mergeCell ref="K20:N20"/>
    <x:mergeCell ref="L21:M21"/>
    <x:mergeCell ref="L22:M22"/>
    <x:mergeCell ref="L23:M23"/>
    <x:mergeCell ref="L24:M24"/>
    <x:mergeCell ref="L25:M25"/>
    <x:mergeCell ref="A27:N27"/>
    <x:mergeCell ref="A29:N29"/>
  </x:mergeCells>
  <x:conditionalFormatting sqref="I10:I15">
    <x:cfRule type="containsText" dxfId="0" priority="1" operator="containsText" text="완료"/>
    <x:cfRule type="containsText" dxfId="1" priority="2" operator="containsText" text="정상"/>
    <x:cfRule type="containsText" dxfId="2" priority="3" operator="containsText" text="검토"/>
    <x:cfRule type="containsText" dxfId="3" priority="4" operator="containsText" text="필요"/>
    <x:cfRule type="containsText" dxfId="4" priority="5" operator="containsText" text="보류"/>
    <x:cfRule type="containsText" dxfId="5" priority="6" operator="containsText" text="취소"/>
    <x:cfRule type="containsText" dxfId="6" priority="7" operator="containsText" text="초과"/>
    <x:cfRule type="containsText" dxfId="7" priority="8" operator="containsText" text="오류"/>
    <x:cfRule type="containsText" dxfId="8" priority="9" operator="containsText" text="중복"/>
  </x:conditionalFormatting>
  <x:conditionalFormatting sqref="F20:H24">
    <x:cfRule type="containsText" dxfId="9" priority="10" operator="containsText" text="완료"/>
    <x:cfRule type="containsText" dxfId="10" priority="11" operator="containsText" text="정상"/>
    <x:cfRule type="containsText" dxfId="11" priority="12" operator="containsText" text="검토"/>
    <x:cfRule type="containsText" dxfId="12" priority="13" operator="containsText" text="필요"/>
    <x:cfRule type="containsText" dxfId="13" priority="14" operator="containsText" text="보류"/>
    <x:cfRule type="containsText" dxfId="14" priority="15" operator="containsText" text="취소"/>
    <x:cfRule type="containsText" dxfId="15" priority="16" operator="containsText" text="초과"/>
    <x:cfRule type="containsText" dxfId="16" priority="17" operator="containsText" text="오류"/>
    <x:cfRule type="containsText" dxfId="17" priority="18" operator="containsText" text="중복"/>
  </x:conditionalFormatting>
  <x:pageMargins left="0.7" right="0.7" top="0.75" bottom="0.75" header="0.3" footer="0.3"/>
  <x:drawing xmlns:r="http://schemas.openxmlformats.org/officeDocument/2006/relationships" r:id="R375c2ebbc8f94a6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1" hidden="0" customWidth="1"/>
    <x:col min="4" max="4" width="15" hidden="0" customWidth="1"/>
    <x:col min="5" max="5" width="17" hidden="0" customWidth="1"/>
    <x:col min="6" max="6" width="14" hidden="0" customWidth="1"/>
    <x:col min="7" max="7" width="38" hidden="0" customWidth="1"/>
    <x:col min="8" max="8" width="30" hidden="0" customWidth="1"/>
    <x:col min="9" max="9" width="38" hidden="0" customWidth="1"/>
    <x:col min="10" max="10" width="22" hidden="0" customWidth="1"/>
    <x:col min="11" max="11" width="50" hidden="0" customWidth="1"/>
    <x:col min="12" max="12" width="24" hidden="0" customWidth="1"/>
    <x:col min="13" max="13" width="34" hidden="0" customWidth="1"/>
    <x:col min="14" max="14" width="13" hidden="0" customWidth="1"/>
    <x:col min="15" max="15" width="11" hidden="0" customWidth="1"/>
    <x:col min="16" max="16" width="10" hidden="0" customWidth="1"/>
    <x:col min="17" max="17" width="15" hidden="0" customWidth="1"/>
    <x:col min="18" max="18" width="16" hidden="0" customWidth="1"/>
    <x:col min="19" max="19" width="12" hidden="0" customWidth="1"/>
    <x:col min="20" max="20" width="16" hidden="0" customWidth="1"/>
    <x:col min="21" max="21" width="16" hidden="0" customWidth="1"/>
    <x:col min="22" max="22" width="13" hidden="0" customWidth="1"/>
    <x:col min="23" max="23" width="12" hidden="0" customWidth="1"/>
    <x:col min="24" max="24" width="16" hidden="0" customWidth="1"/>
    <x:col min="25" max="25" width="16" hidden="0" customWidth="1"/>
    <x:col min="26" max="26" width="13" hidden="0" customWidth="1"/>
    <x:col min="27" max="27" width="17" hidden="0" customWidth="1"/>
    <x:col min="28" max="28" width="17" hidden="0" customWidth="1"/>
    <x:col min="29" max="29" width="15" hidden="0" customWidth="1"/>
    <x:col min="30" max="30" width="14" hidden="0" customWidth="1"/>
    <x:col min="31" max="31" width="15" hidden="0" customWidth="1"/>
    <x:col min="32" max="32" width="17" hidden="0" customWidth="1"/>
    <x:col min="33" max="33" width="13" hidden="0" customWidth="1"/>
    <x:col min="34" max="34" width="16" hidden="0" customWidth="1"/>
    <x:col min="35" max="35" width="13" hidden="0" customWidth="1"/>
    <x:col min="36" max="36" width="17" hidden="0" customWidth="1"/>
    <x:col min="37" max="37" width="14" hidden="0" customWidth="1"/>
    <x:col min="38" max="38" width="14" hidden="0" customWidth="1"/>
    <x:col min="39" max="39" width="14" hidden="0" customWidth="1"/>
    <x:col min="40" max="40" width="18" hidden="0" customWidth="1"/>
    <x:col min="41" max="41" width="22" hidden="0" customWidth="1"/>
    <x:col min="42" max="42" width="32" hidden="0" customWidth="1"/>
    <x:col min="43" max="43" width="16" hidden="0" customWidth="1"/>
  </x:cols>
  <x:sheetData>
    <x:row r="1" ht="34" customHeight="1">
      <x:c r="A1" s="3" t="str">
        <x:v>구매·집행 통합원장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</x:row>
    <x:row r="2" ht="30" customHeight="1">
      <x:c r="A2" s="7" t="str">
        <x:v>한 행=한 세부 품목·용역 | 계획→견적→발주→실구매→정산을 한 줄에서 관리 | 금액 단위: 원 · 표시: ₩ | v1.1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</x:row>
    <x:row r="4">
      <x:c r="A4" s="59" t="str">
        <x:v>업무 상태</x:v>
      </x:c>
      <x:c r="B4" s="59"/>
      <x:c r="C4" s="59"/>
      <x:c r="D4" s="12" t="str">
        <x:v>예산·품목 연결</x:v>
      </x:c>
      <x:c r="E4" s="12"/>
      <x:c r="F4" s="12"/>
      <x:c r="G4" s="12"/>
      <x:c r="H4" s="12"/>
      <x:c r="I4" s="12"/>
      <x:c r="J4" s="12"/>
      <x:c r="K4" s="12"/>
      <x:c r="L4" s="12"/>
      <x:c r="M4" s="12"/>
      <x:c r="N4" s="64" t="str">
        <x:v>계획·견적·계약</x:v>
      </x:c>
      <x:c r="O4" s="64"/>
      <x:c r="P4" s="64"/>
      <x:c r="Q4" s="64"/>
      <x:c r="R4" s="64"/>
      <x:c r="S4" s="64"/>
      <x:c r="T4" s="64"/>
      <x:c r="U4" s="64"/>
      <x:c r="V4" s="64"/>
      <x:c r="W4" s="69" t="str">
        <x:v>실구매·전망</x:v>
      </x:c>
      <x:c r="X4" s="69"/>
      <x:c r="Y4" s="69"/>
      <x:c r="Z4" s="69"/>
      <x:c r="AA4" s="69"/>
      <x:c r="AB4" s="69"/>
      <x:c r="AC4" s="74" t="str">
        <x:v>지급·정산</x:v>
      </x:c>
      <x:c r="AD4" s="74"/>
      <x:c r="AE4" s="74"/>
      <x:c r="AF4" s="74"/>
      <x:c r="AG4" s="74"/>
      <x:c r="AH4" s="74"/>
      <x:c r="AI4" s="74"/>
      <x:c r="AJ4" s="79" t="str">
        <x:v>책임·증빙·점검</x:v>
      </x:c>
      <x:c r="AK4" s="79"/>
      <x:c r="AL4" s="79"/>
      <x:c r="AM4" s="79"/>
      <x:c r="AN4" s="79"/>
      <x:c r="AO4" s="79"/>
      <x:c r="AP4" s="79"/>
      <x:c r="AQ4" s="79"/>
    </x:row>
    <x:row r="5">
      <x:c r="A5" s="54" t="str">
        <x:v>입력: 노란색 · 자동계산/연동: 파란색 · 정산/증빙: 초록색 | 금액은 모두 원 단위이며 VAT ‘별도’일 때 계획·실구매액에 10%가 자동 가산됩니다.</x:v>
      </x:c>
      <x:c r="B5" s="54"/>
      <x:c r="C5" s="54"/>
      <x:c r="D5" s="54"/>
      <x:c r="E5" s="54"/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  <x:c r="AA5" s="54"/>
      <x:c r="AB5" s="54"/>
      <x:c r="AC5" s="54"/>
      <x:c r="AD5" s="54"/>
      <x:c r="AE5" s="54"/>
      <x:c r="AF5" s="54"/>
      <x:c r="AG5" s="54"/>
      <x:c r="AH5" s="54"/>
      <x:c r="AI5" s="54"/>
      <x:c r="AJ5" s="54"/>
      <x:c r="AK5" s="54"/>
      <x:c r="AL5" s="54"/>
      <x:c r="AM5" s="54"/>
      <x:c r="AN5" s="54"/>
      <x:c r="AO5" s="54"/>
      <x:c r="AP5" s="54"/>
      <x:c r="AQ5" s="54"/>
    </x:row>
    <x:row r="6" ht="34" customHeight="1">
      <x:c r="A6" s="31" t="str">
        <x:v>계획ID</x:v>
      </x:c>
      <x:c r="B6" s="31" t="str">
        <x:v>진행단계</x:v>
      </x:c>
      <x:c r="C6" s="31" t="str">
        <x:v>전망반영(기본 포함)</x:v>
      </x:c>
      <x:c r="D6" s="31" t="str">
        <x:v>비용유형</x:v>
      </x:c>
      <x:c r="E6" s="31" t="str">
        <x:v>비목 [자동]</x:v>
      </x:c>
      <x:c r="F6" s="31" t="str">
        <x:v>예산라인ID</x:v>
      </x:c>
      <x:c r="G6" s="31" t="str">
        <x:v>공식 산출내역 [자동]</x:v>
      </x:c>
      <x:c r="H6" s="31" t="str">
        <x:v>세부 품목</x:v>
      </x:c>
      <x:c r="I6" s="31" t="str">
        <x:v>제품명·모델·규격</x:v>
      </x:c>
      <x:c r="J6" s="31" t="str">
        <x:v>연계 MAT·BOM·WBS</x:v>
      </x:c>
      <x:c r="K6" s="31" t="str">
        <x:v>사용목적·Gate·메모</x:v>
      </x:c>
      <x:c r="L6" s="31" t="str">
        <x:v>공급처</x:v>
      </x:c>
      <x:c r="M6" s="31" t="str">
        <x:v>제품·견적 URL</x:v>
      </x:c>
      <x:c r="N6" s="31" t="str">
        <x:v>구매 예정일</x:v>
      </x:c>
      <x:c r="O6" s="31" t="str">
        <x:v>계획수량</x:v>
      </x:c>
      <x:c r="P6" s="31" t="str">
        <x:v>단위</x:v>
      </x:c>
      <x:c r="Q6" s="31" t="str">
        <x:v>계획단가(원)</x:v>
      </x:c>
      <x:c r="R6" s="31" t="str">
        <x:v>계획금액(원) [자동]</x:v>
      </x:c>
      <x:c r="S6" s="31" t="str">
        <x:v>부가세 구분</x:v>
      </x:c>
      <x:c r="T6" s="31" t="str">
        <x:v>선정견적액(원)</x:v>
      </x:c>
      <x:c r="U6" s="31" t="str">
        <x:v>계약·발주액(원)</x:v>
      </x:c>
      <x:c r="V6" s="31" t="str">
        <x:v>발주·계약일</x:v>
      </x:c>
      <x:c r="W6" s="31" t="str">
        <x:v>실구매수량</x:v>
      </x:c>
      <x:c r="X6" s="31" t="str">
        <x:v>실구매단가(원)</x:v>
      </x:c>
      <x:c r="Y6" s="31" t="str">
        <x:v>실구매액(원) [자동]</x:v>
      </x:c>
      <x:c r="Z6" s="31" t="str">
        <x:v>실구매일</x:v>
      </x:c>
      <x:c r="AA6" s="31" t="str">
        <x:v>계획대비차액(원) [자동]</x:v>
      </x:c>
      <x:c r="AB6" s="31" t="str">
        <x:v>구매계획 전망액(원) [자동]</x:v>
      </x:c>
      <x:c r="AC6" s="31" t="str">
        <x:v>공급가액(원)</x:v>
      </x:c>
      <x:c r="AD6" s="31" t="str">
        <x:v>부가세액(원)</x:v>
      </x:c>
      <x:c r="AE6" s="31" t="str">
        <x:v>조정·환입액(원)</x:v>
      </x:c>
      <x:c r="AF6" s="31" t="str">
        <x:v>인정집행액(원) [자동]</x:v>
      </x:c>
      <x:c r="AG6" s="31" t="str">
        <x:v>지급일</x:v>
      </x:c>
      <x:c r="AH6" s="31" t="str">
        <x:v>미지급액(원) [자동]</x:v>
      </x:c>
      <x:c r="AI6" s="31" t="str">
        <x:v>정산상태</x:v>
      </x:c>
      <x:c r="AJ6" s="31" t="str">
        <x:v>주문주체</x:v>
      </x:c>
      <x:c r="AK6" s="31" t="str">
        <x:v>요청부서</x:v>
      </x:c>
      <x:c r="AL6" s="31" t="str">
        <x:v>구매담당</x:v>
      </x:c>
      <x:c r="AM6" s="31" t="str">
        <x:v>기술검수자</x:v>
      </x:c>
      <x:c r="AN6" s="31" t="str">
        <x:v>증빙ID</x:v>
      </x:c>
      <x:c r="AO6" s="31" t="str">
        <x:v>설치·수행장소</x:v>
      </x:c>
      <x:c r="AP6" s="31" t="str">
        <x:v>비고</x:v>
      </x:c>
      <x:c r="AQ6" s="31" t="str">
        <x:v>점검 [자동]</x:v>
      </x:c>
    </x:row>
    <x:row r="7" ht="24" customHeight="1">
      <x:c r="A7" s="85"/>
      <x:c r="B7" s="85"/>
      <x:c r="C7" s="85"/>
      <x:c r="D7" s="85"/>
      <x:c r="E7" s="86" t="str">
        <x:f>IF(F7="","",IFERROR(VLOOKUP(F7,'02_승인예산'!$A$7:$S$66,2,FALSE),"예산코드 오류"))</x:f>
      </x:c>
      <x:c r="F7" s="85"/>
      <x:c r="G7" s="86" t="str">
        <x:f>IF(F7="","",IFERROR(VLOOKUP(F7,'02_승인예산'!$A$7:$S$66,4,FALSE),"예산코드 오류"))</x:f>
      </x:c>
      <x:c r="H7" s="85"/>
      <x:c r="I7" s="85"/>
      <x:c r="J7" s="85"/>
      <x:c r="K7" s="85"/>
      <x:c r="L7" s="85"/>
      <x:c r="M7" s="95"/>
      <x:c r="N7" s="92"/>
      <x:c r="O7" s="88"/>
      <x:c r="P7" s="85"/>
      <x:c r="Q7" s="89"/>
      <x:c r="R7" s="90" t="str">
        <x:f>IF(OR(O7="",Q7=""),"",O7*Q7*IF(S7="별도",1.1,1))</x:f>
      </x:c>
      <x:c r="S7" s="85"/>
      <x:c r="T7" s="89"/>
      <x:c r="U7" s="89"/>
      <x:c r="V7" s="92"/>
      <x:c r="W7" s="88"/>
      <x:c r="X7" s="89"/>
      <x:c r="Y7" s="90" t="str">
        <x:f>IF(OR(W7="",X7=""),"",W7*X7*IF(S7="별도",1.1,1))</x:f>
      </x:c>
      <x:c r="Z7" s="93"/>
      <x:c r="AA7" s="90" t="str">
        <x:f>IF(OR(R7="",Y7=""),"",R7-Y7)</x:f>
      </x:c>
      <x:c r="AB7" s="90" t="str">
        <x:f>IF($A7="","",IF($B7="취소",0,IF($C7="제외",0,IF($Y7&lt;&gt;"",$Y7,IF($U7&lt;&gt;"",$U7,IF($T7&lt;&gt;"",$T7,$R7))))))</x:f>
      </x:c>
      <x:c r="AC7" s="91"/>
      <x:c r="AD7" s="91"/>
      <x:c r="AE7" s="91"/>
      <x:c r="AF7" s="90" t="str">
        <x:f>IF(AND(AC7="",AD7="",AE7=""),"",SUM(AC7:AE7))</x:f>
      </x:c>
      <x:c r="AG7" s="94"/>
      <x:c r="AH7" s="91" t="str">
        <x:f>IF(Y7="","",Y7-IF(AF7="",0,AF7))</x:f>
      </x:c>
      <x:c r="AI7" s="87"/>
      <x:c r="AJ7" s="87"/>
      <x:c r="AK7" s="87"/>
      <x:c r="AL7" s="87"/>
      <x:c r="AM7" s="87"/>
      <x:c r="AN7" s="85"/>
      <x:c r="AO7" s="85"/>
      <x:c r="AP7" s="85"/>
      <x:c r="AQ7" s="86" t="str">
        <x:f>IF(A7="","",IF(COUNTIF($A$7:$A$156,A7)&gt;1,"ID 중복",IF(F7="","예산 매핑 필요",IF(OR(E7="예산코드 오류",G7="예산코드 오류"),"예산코드 오류",IF(AND(Y7&lt;&gt;"",Z7=""),"구매일 필요",IF(AND(AF7&lt;&gt;"",AG7=""),"지급일 필요",IF(AND(AF7&lt;&gt;"",AN7=""),"증빙ID 필요",IF(OR(Y7&lt;0,AF7&lt;0),"금액 오류",IF(AND(Y7&lt;&gt;"",R7&lt;&gt;"",Y7&gt;R7),"계획 초과","정상")))))))))</x:f>
      </x:c>
    </x:row>
    <x:row r="8" ht="24" customHeight="1">
      <x:c r="A8" s="85"/>
      <x:c r="B8" s="85"/>
      <x:c r="C8" s="85"/>
      <x:c r="D8" s="85"/>
      <x:c r="E8" s="86" t="str">
        <x:f>IF(F8="","",IFERROR(VLOOKUP(F8,'02_승인예산'!$A$7:$S$66,2,FALSE),"예산코드 오류"))</x:f>
      </x:c>
      <x:c r="F8" s="85"/>
      <x:c r="G8" s="86" t="str">
        <x:f>IF(F8="","",IFERROR(VLOOKUP(F8,'02_승인예산'!$A$7:$S$66,4,FALSE),"예산코드 오류"))</x:f>
      </x:c>
      <x:c r="H8" s="85"/>
      <x:c r="I8" s="85"/>
      <x:c r="J8" s="85"/>
      <x:c r="K8" s="85"/>
      <x:c r="L8" s="85"/>
      <x:c r="M8" s="95"/>
      <x:c r="N8" s="92"/>
      <x:c r="O8" s="88"/>
      <x:c r="P8" s="85"/>
      <x:c r="Q8" s="89"/>
      <x:c r="R8" s="90" t="str">
        <x:f>IF(OR(O8="",Q8=""),"",O8*Q8*IF(S8="별도",1.1,1))</x:f>
      </x:c>
      <x:c r="S8" s="85"/>
      <x:c r="T8" s="89"/>
      <x:c r="U8" s="89"/>
      <x:c r="V8" s="92"/>
      <x:c r="W8" s="88"/>
      <x:c r="X8" s="89"/>
      <x:c r="Y8" s="90" t="str">
        <x:f>IF(OR(W8="",X8=""),"",W8*X8*IF(S8="별도",1.1,1))</x:f>
      </x:c>
      <x:c r="Z8" s="93"/>
      <x:c r="AA8" s="90" t="str">
        <x:f>IF(OR(R8="",Y8=""),"",R8-Y8)</x:f>
      </x:c>
      <x:c r="AB8" s="90" t="str">
        <x:f>IF($A8="","",IF($B8="취소",0,IF($C8="제외",0,IF($Y8&lt;&gt;"",$Y8,IF($U8&lt;&gt;"",$U8,IF($T8&lt;&gt;"",$T8,$R8))))))</x:f>
      </x:c>
      <x:c r="AC8" s="91"/>
      <x:c r="AD8" s="91"/>
      <x:c r="AE8" s="91"/>
      <x:c r="AF8" s="90" t="str">
        <x:f>IF(AND(AC8="",AD8="",AE8=""),"",SUM(AC8:AE8))</x:f>
      </x:c>
      <x:c r="AG8" s="94"/>
      <x:c r="AH8" s="91" t="str">
        <x:f>IF(Y8="","",Y8-IF(AF8="",0,AF8))</x:f>
      </x:c>
      <x:c r="AI8" s="87"/>
      <x:c r="AJ8" s="87"/>
      <x:c r="AK8" s="87"/>
      <x:c r="AL8" s="87"/>
      <x:c r="AM8" s="87"/>
      <x:c r="AN8" s="85"/>
      <x:c r="AO8" s="85"/>
      <x:c r="AP8" s="85"/>
      <x:c r="AQ8" s="86" t="str">
        <x:f>IF(A8="","",IF(COUNTIF($A$7:$A$156,A8)&gt;1,"ID 중복",IF(F8="","예산 매핑 필요",IF(OR(E8="예산코드 오류",G8="예산코드 오류"),"예산코드 오류",IF(AND(Y8&lt;&gt;"",Z8=""),"구매일 필요",IF(AND(AF8&lt;&gt;"",AG8=""),"지급일 필요",IF(AND(AF8&lt;&gt;"",AN8=""),"증빙ID 필요",IF(OR(Y8&lt;0,AF8&lt;0),"금액 오류",IF(AND(Y8&lt;&gt;"",R8&lt;&gt;"",Y8&gt;R8),"계획 초과","정상")))))))))</x:f>
      </x:c>
    </x:row>
    <x:row r="9" ht="24" customHeight="1">
      <x:c r="A9" s="85"/>
      <x:c r="B9" s="85"/>
      <x:c r="C9" s="85"/>
      <x:c r="D9" s="85"/>
      <x:c r="E9" s="86" t="str">
        <x:f>IF(F9="","",IFERROR(VLOOKUP(F9,'02_승인예산'!$A$7:$S$66,2,FALSE),"예산코드 오류"))</x:f>
      </x:c>
      <x:c r="F9" s="85"/>
      <x:c r="G9" s="86" t="str">
        <x:f>IF(F9="","",IFERROR(VLOOKUP(F9,'02_승인예산'!$A$7:$S$66,4,FALSE),"예산코드 오류"))</x:f>
      </x:c>
      <x:c r="H9" s="85"/>
      <x:c r="I9" s="85"/>
      <x:c r="J9" s="85"/>
      <x:c r="K9" s="85"/>
      <x:c r="L9" s="85"/>
      <x:c r="M9" s="95"/>
      <x:c r="N9" s="92"/>
      <x:c r="O9" s="88"/>
      <x:c r="P9" s="85"/>
      <x:c r="Q9" s="89"/>
      <x:c r="R9" s="90" t="str">
        <x:f>IF(OR(O9="",Q9=""),"",O9*Q9*IF(S9="별도",1.1,1))</x:f>
      </x:c>
      <x:c r="S9" s="85"/>
      <x:c r="T9" s="89"/>
      <x:c r="U9" s="89"/>
      <x:c r="V9" s="92"/>
      <x:c r="W9" s="88"/>
      <x:c r="X9" s="89"/>
      <x:c r="Y9" s="90" t="str">
        <x:f>IF(OR(W9="",X9=""),"",W9*X9*IF(S9="별도",1.1,1))</x:f>
      </x:c>
      <x:c r="Z9" s="93"/>
      <x:c r="AA9" s="90" t="str">
        <x:f>IF(OR(R9="",Y9=""),"",R9-Y9)</x:f>
      </x:c>
      <x:c r="AB9" s="90" t="str">
        <x:f>IF($A9="","",IF($B9="취소",0,IF($C9="제외",0,IF($Y9&lt;&gt;"",$Y9,IF($U9&lt;&gt;"",$U9,IF($T9&lt;&gt;"",$T9,$R9))))))</x:f>
      </x:c>
      <x:c r="AC9" s="91"/>
      <x:c r="AD9" s="91"/>
      <x:c r="AE9" s="91"/>
      <x:c r="AF9" s="90" t="str">
        <x:f>IF(AND(AC9="",AD9="",AE9=""),"",SUM(AC9:AE9))</x:f>
      </x:c>
      <x:c r="AG9" s="94"/>
      <x:c r="AH9" s="91" t="str">
        <x:f>IF(Y9="","",Y9-IF(AF9="",0,AF9))</x:f>
      </x:c>
      <x:c r="AI9" s="87"/>
      <x:c r="AJ9" s="87"/>
      <x:c r="AK9" s="87"/>
      <x:c r="AL9" s="87"/>
      <x:c r="AM9" s="87"/>
      <x:c r="AN9" s="85"/>
      <x:c r="AO9" s="85"/>
      <x:c r="AP9" s="85"/>
      <x:c r="AQ9" s="86" t="str">
        <x:f>IF(A9="","",IF(COUNTIF($A$7:$A$156,A9)&gt;1,"ID 중복",IF(F9="","예산 매핑 필요",IF(OR(E9="예산코드 오류",G9="예산코드 오류"),"예산코드 오류",IF(AND(Y9&lt;&gt;"",Z9=""),"구매일 필요",IF(AND(AF9&lt;&gt;"",AG9=""),"지급일 필요",IF(AND(AF9&lt;&gt;"",AN9=""),"증빙ID 필요",IF(OR(Y9&lt;0,AF9&lt;0),"금액 오류",IF(AND(Y9&lt;&gt;"",R9&lt;&gt;"",Y9&gt;R9),"계획 초과","정상")))))))))</x:f>
      </x:c>
    </x:row>
    <x:row r="10" ht="24" customHeight="1">
      <x:c r="A10" s="85"/>
      <x:c r="B10" s="85"/>
      <x:c r="C10" s="85"/>
      <x:c r="D10" s="85"/>
      <x:c r="E10" s="86" t="str">
        <x:f>IF(F10="","",IFERROR(VLOOKUP(F10,'02_승인예산'!$A$7:$S$66,2,FALSE),"예산코드 오류"))</x:f>
      </x:c>
      <x:c r="F10" s="85"/>
      <x:c r="G10" s="86" t="str">
        <x:f>IF(F10="","",IFERROR(VLOOKUP(F10,'02_승인예산'!$A$7:$S$66,4,FALSE),"예산코드 오류"))</x:f>
      </x:c>
      <x:c r="H10" s="85"/>
      <x:c r="I10" s="85"/>
      <x:c r="J10" s="85"/>
      <x:c r="K10" s="85"/>
      <x:c r="L10" s="85"/>
      <x:c r="M10" s="95"/>
      <x:c r="N10" s="92"/>
      <x:c r="O10" s="88"/>
      <x:c r="P10" s="85"/>
      <x:c r="Q10" s="89"/>
      <x:c r="R10" s="90" t="str">
        <x:f>IF(OR(O10="",Q10=""),"",O10*Q10*IF(S10="별도",1.1,1))</x:f>
      </x:c>
      <x:c r="S10" s="85"/>
      <x:c r="T10" s="89"/>
      <x:c r="U10" s="89"/>
      <x:c r="V10" s="92"/>
      <x:c r="W10" s="88"/>
      <x:c r="X10" s="89"/>
      <x:c r="Y10" s="90" t="str">
        <x:f>IF(OR(W10="",X10=""),"",W10*X10*IF(S10="별도",1.1,1))</x:f>
      </x:c>
      <x:c r="Z10" s="93"/>
      <x:c r="AA10" s="90" t="str">
        <x:f>IF(OR(R10="",Y10=""),"",R10-Y10)</x:f>
      </x:c>
      <x:c r="AB10" s="90" t="str">
        <x:f>IF($A10="","",IF($B10="취소",0,IF($C10="제외",0,IF($Y10&lt;&gt;"",$Y10,IF($U10&lt;&gt;"",$U10,IF($T10&lt;&gt;"",$T10,$R10))))))</x:f>
      </x:c>
      <x:c r="AC10" s="91"/>
      <x:c r="AD10" s="91"/>
      <x:c r="AE10" s="91"/>
      <x:c r="AF10" s="90" t="str">
        <x:f>IF(AND(AC10="",AD10="",AE10=""),"",SUM(AC10:AE10))</x:f>
      </x:c>
      <x:c r="AG10" s="94"/>
      <x:c r="AH10" s="91" t="str">
        <x:f>IF(Y10="","",Y10-IF(AF10="",0,AF10))</x:f>
      </x:c>
      <x:c r="AI10" s="87"/>
      <x:c r="AJ10" s="87"/>
      <x:c r="AK10" s="87"/>
      <x:c r="AL10" s="87"/>
      <x:c r="AM10" s="87"/>
      <x:c r="AN10" s="85"/>
      <x:c r="AO10" s="85"/>
      <x:c r="AP10" s="85"/>
      <x:c r="AQ10" s="86" t="str">
        <x:f>IF(A10="","",IF(COUNTIF($A$7:$A$156,A10)&gt;1,"ID 중복",IF(F10="","예산 매핑 필요",IF(OR(E10="예산코드 오류",G10="예산코드 오류"),"예산코드 오류",IF(AND(Y10&lt;&gt;"",Z10=""),"구매일 필요",IF(AND(AF10&lt;&gt;"",AG10=""),"지급일 필요",IF(AND(AF10&lt;&gt;"",AN10=""),"증빙ID 필요",IF(OR(Y10&lt;0,AF10&lt;0),"금액 오류",IF(AND(Y10&lt;&gt;"",R10&lt;&gt;"",Y10&gt;R10),"계획 초과","정상")))))))))</x:f>
      </x:c>
    </x:row>
    <x:row r="11" ht="24" customHeight="1">
      <x:c r="A11" s="85"/>
      <x:c r="B11" s="85"/>
      <x:c r="C11" s="85"/>
      <x:c r="D11" s="85"/>
      <x:c r="E11" s="86" t="str">
        <x:f>IF(F11="","",IFERROR(VLOOKUP(F11,'02_승인예산'!$A$7:$S$66,2,FALSE),"예산코드 오류"))</x:f>
      </x:c>
      <x:c r="F11" s="85"/>
      <x:c r="G11" s="86" t="str">
        <x:f>IF(F11="","",IFERROR(VLOOKUP(F11,'02_승인예산'!$A$7:$S$66,4,FALSE),"예산코드 오류"))</x:f>
      </x:c>
      <x:c r="H11" s="85"/>
      <x:c r="I11" s="85"/>
      <x:c r="J11" s="85"/>
      <x:c r="K11" s="85"/>
      <x:c r="L11" s="85"/>
      <x:c r="M11" s="95"/>
      <x:c r="N11" s="92"/>
      <x:c r="O11" s="88"/>
      <x:c r="P11" s="85"/>
      <x:c r="Q11" s="89"/>
      <x:c r="R11" s="90" t="str">
        <x:f>IF(OR(O11="",Q11=""),"",O11*Q11*IF(S11="별도",1.1,1))</x:f>
      </x:c>
      <x:c r="S11" s="85"/>
      <x:c r="T11" s="89"/>
      <x:c r="U11" s="89"/>
      <x:c r="V11" s="92"/>
      <x:c r="W11" s="88"/>
      <x:c r="X11" s="89"/>
      <x:c r="Y11" s="90" t="str">
        <x:f>IF(OR(W11="",X11=""),"",W11*X11*IF(S11="별도",1.1,1))</x:f>
      </x:c>
      <x:c r="Z11" s="93"/>
      <x:c r="AA11" s="90" t="str">
        <x:f>IF(OR(R11="",Y11=""),"",R11-Y11)</x:f>
      </x:c>
      <x:c r="AB11" s="90" t="str">
        <x:f>IF($A11="","",IF($B11="취소",0,IF($C11="제외",0,IF($Y11&lt;&gt;"",$Y11,IF($U11&lt;&gt;"",$U11,IF($T11&lt;&gt;"",$T11,$R11))))))</x:f>
      </x:c>
      <x:c r="AC11" s="91"/>
      <x:c r="AD11" s="91"/>
      <x:c r="AE11" s="91"/>
      <x:c r="AF11" s="90" t="str">
        <x:f>IF(AND(AC11="",AD11="",AE11=""),"",SUM(AC11:AE11))</x:f>
      </x:c>
      <x:c r="AG11" s="94"/>
      <x:c r="AH11" s="91" t="str">
        <x:f>IF(Y11="","",Y11-IF(AF11="",0,AF11))</x:f>
      </x:c>
      <x:c r="AI11" s="87"/>
      <x:c r="AJ11" s="87"/>
      <x:c r="AK11" s="87"/>
      <x:c r="AL11" s="87"/>
      <x:c r="AM11" s="87"/>
      <x:c r="AN11" s="85"/>
      <x:c r="AO11" s="85"/>
      <x:c r="AP11" s="85"/>
      <x:c r="AQ11" s="86" t="str">
        <x:f>IF(A11="","",IF(COUNTIF($A$7:$A$156,A11)&gt;1,"ID 중복",IF(F11="","예산 매핑 필요",IF(OR(E11="예산코드 오류",G11="예산코드 오류"),"예산코드 오류",IF(AND(Y11&lt;&gt;"",Z11=""),"구매일 필요",IF(AND(AF11&lt;&gt;"",AG11=""),"지급일 필요",IF(AND(AF11&lt;&gt;"",AN11=""),"증빙ID 필요",IF(OR(Y11&lt;0,AF11&lt;0),"금액 오류",IF(AND(Y11&lt;&gt;"",R11&lt;&gt;"",Y11&gt;R11),"계획 초과","정상")))))))))</x:f>
      </x:c>
    </x:row>
    <x:row r="12" ht="24" customHeight="1">
      <x:c r="A12" s="85"/>
      <x:c r="B12" s="85"/>
      <x:c r="C12" s="85"/>
      <x:c r="D12" s="85"/>
      <x:c r="E12" s="86" t="str">
        <x:f>IF(F12="","",IFERROR(VLOOKUP(F12,'02_승인예산'!$A$7:$S$66,2,FALSE),"예산코드 오류"))</x:f>
      </x:c>
      <x:c r="F12" s="85"/>
      <x:c r="G12" s="86" t="str">
        <x:f>IF(F12="","",IFERROR(VLOOKUP(F12,'02_승인예산'!$A$7:$S$66,4,FALSE),"예산코드 오류"))</x:f>
      </x:c>
      <x:c r="H12" s="85"/>
      <x:c r="I12" s="85"/>
      <x:c r="J12" s="85"/>
      <x:c r="K12" s="85"/>
      <x:c r="L12" s="85"/>
      <x:c r="M12" s="95"/>
      <x:c r="N12" s="92"/>
      <x:c r="O12" s="88"/>
      <x:c r="P12" s="85"/>
      <x:c r="Q12" s="89"/>
      <x:c r="R12" s="90" t="str">
        <x:f>IF(OR(O12="",Q12=""),"",O12*Q12*IF(S12="별도",1.1,1))</x:f>
      </x:c>
      <x:c r="S12" s="85"/>
      <x:c r="T12" s="89"/>
      <x:c r="U12" s="89"/>
      <x:c r="V12" s="92"/>
      <x:c r="W12" s="88"/>
      <x:c r="X12" s="89"/>
      <x:c r="Y12" s="90" t="str">
        <x:f>IF(OR(W12="",X12=""),"",W12*X12*IF(S12="별도",1.1,1))</x:f>
      </x:c>
      <x:c r="Z12" s="93"/>
      <x:c r="AA12" s="90" t="str">
        <x:f>IF(OR(R12="",Y12=""),"",R12-Y12)</x:f>
      </x:c>
      <x:c r="AB12" s="90" t="str">
        <x:f>IF($A12="","",IF($B12="취소",0,IF($C12="제외",0,IF($Y12&lt;&gt;"",$Y12,IF($U12&lt;&gt;"",$U12,IF($T12&lt;&gt;"",$T12,$R12))))))</x:f>
      </x:c>
      <x:c r="AC12" s="91"/>
      <x:c r="AD12" s="91"/>
      <x:c r="AE12" s="91"/>
      <x:c r="AF12" s="90" t="str">
        <x:f>IF(AND(AC12="",AD12="",AE12=""),"",SUM(AC12:AE12))</x:f>
      </x:c>
      <x:c r="AG12" s="94"/>
      <x:c r="AH12" s="91" t="str">
        <x:f>IF(Y12="","",Y12-IF(AF12="",0,AF12))</x:f>
      </x:c>
      <x:c r="AI12" s="87"/>
      <x:c r="AJ12" s="87"/>
      <x:c r="AK12" s="87"/>
      <x:c r="AL12" s="87"/>
      <x:c r="AM12" s="87"/>
      <x:c r="AN12" s="85"/>
      <x:c r="AO12" s="85"/>
      <x:c r="AP12" s="85"/>
      <x:c r="AQ12" s="86" t="str">
        <x:f>IF(A12="","",IF(COUNTIF($A$7:$A$156,A12)&gt;1,"ID 중복",IF(F12="","예산 매핑 필요",IF(OR(E12="예산코드 오류",G12="예산코드 오류"),"예산코드 오류",IF(AND(Y12&lt;&gt;"",Z12=""),"구매일 필요",IF(AND(AF12&lt;&gt;"",AG12=""),"지급일 필요",IF(AND(AF12&lt;&gt;"",AN12=""),"증빙ID 필요",IF(OR(Y12&lt;0,AF12&lt;0),"금액 오류",IF(AND(Y12&lt;&gt;"",R12&lt;&gt;"",Y12&gt;R12),"계획 초과","정상")))))))))</x:f>
      </x:c>
    </x:row>
    <x:row r="13" ht="24" customHeight="1">
      <x:c r="A13" s="85"/>
      <x:c r="B13" s="85"/>
      <x:c r="C13" s="85"/>
      <x:c r="D13" s="85"/>
      <x:c r="E13" s="86" t="str">
        <x:f>IF(F13="","",IFERROR(VLOOKUP(F13,'02_승인예산'!$A$7:$S$66,2,FALSE),"예산코드 오류"))</x:f>
      </x:c>
      <x:c r="F13" s="85"/>
      <x:c r="G13" s="86" t="str">
        <x:f>IF(F13="","",IFERROR(VLOOKUP(F13,'02_승인예산'!$A$7:$S$66,4,FALSE),"예산코드 오류"))</x:f>
      </x:c>
      <x:c r="H13" s="85"/>
      <x:c r="I13" s="85"/>
      <x:c r="J13" s="85"/>
      <x:c r="K13" s="85"/>
      <x:c r="L13" s="85"/>
      <x:c r="M13" s="95"/>
      <x:c r="N13" s="92"/>
      <x:c r="O13" s="88"/>
      <x:c r="P13" s="85"/>
      <x:c r="Q13" s="89"/>
      <x:c r="R13" s="90" t="str">
        <x:f>IF(OR(O13="",Q13=""),"",O13*Q13*IF(S13="별도",1.1,1))</x:f>
      </x:c>
      <x:c r="S13" s="85"/>
      <x:c r="T13" s="89"/>
      <x:c r="U13" s="89"/>
      <x:c r="V13" s="92"/>
      <x:c r="W13" s="88"/>
      <x:c r="X13" s="89"/>
      <x:c r="Y13" s="90" t="str">
        <x:f>IF(OR(W13="",X13=""),"",W13*X13*IF(S13="별도",1.1,1))</x:f>
      </x:c>
      <x:c r="Z13" s="93"/>
      <x:c r="AA13" s="90" t="str">
        <x:f>IF(OR(R13="",Y13=""),"",R13-Y13)</x:f>
      </x:c>
      <x:c r="AB13" s="90" t="str">
        <x:f>IF($A13="","",IF($B13="취소",0,IF($C13="제외",0,IF($Y13&lt;&gt;"",$Y13,IF($U13&lt;&gt;"",$U13,IF($T13&lt;&gt;"",$T13,$R13))))))</x:f>
      </x:c>
      <x:c r="AC13" s="91"/>
      <x:c r="AD13" s="91"/>
      <x:c r="AE13" s="91"/>
      <x:c r="AF13" s="90" t="str">
        <x:f>IF(AND(AC13="",AD13="",AE13=""),"",SUM(AC13:AE13))</x:f>
      </x:c>
      <x:c r="AG13" s="94"/>
      <x:c r="AH13" s="91" t="str">
        <x:f>IF(Y13="","",Y13-IF(AF13="",0,AF13))</x:f>
      </x:c>
      <x:c r="AI13" s="87"/>
      <x:c r="AJ13" s="87"/>
      <x:c r="AK13" s="87"/>
      <x:c r="AL13" s="87"/>
      <x:c r="AM13" s="87"/>
      <x:c r="AN13" s="85"/>
      <x:c r="AO13" s="85"/>
      <x:c r="AP13" s="85"/>
      <x:c r="AQ13" s="86" t="str">
        <x:f>IF(A13="","",IF(COUNTIF($A$7:$A$156,A13)&gt;1,"ID 중복",IF(F13="","예산 매핑 필요",IF(OR(E13="예산코드 오류",G13="예산코드 오류"),"예산코드 오류",IF(AND(Y13&lt;&gt;"",Z13=""),"구매일 필요",IF(AND(AF13&lt;&gt;"",AG13=""),"지급일 필요",IF(AND(AF13&lt;&gt;"",AN13=""),"증빙ID 필요",IF(OR(Y13&lt;0,AF13&lt;0),"금액 오류",IF(AND(Y13&lt;&gt;"",R13&lt;&gt;"",Y13&gt;R13),"계획 초과","정상")))))))))</x:f>
      </x:c>
    </x:row>
    <x:row r="14" ht="24" customHeight="1">
      <x:c r="A14" s="85"/>
      <x:c r="B14" s="85"/>
      <x:c r="C14" s="85"/>
      <x:c r="D14" s="85"/>
      <x:c r="E14" s="86" t="str">
        <x:f>IF(F14="","",IFERROR(VLOOKUP(F14,'02_승인예산'!$A$7:$S$66,2,FALSE),"예산코드 오류"))</x:f>
      </x:c>
      <x:c r="F14" s="85"/>
      <x:c r="G14" s="86" t="str">
        <x:f>IF(F14="","",IFERROR(VLOOKUP(F14,'02_승인예산'!$A$7:$S$66,4,FALSE),"예산코드 오류"))</x:f>
      </x:c>
      <x:c r="H14" s="85"/>
      <x:c r="I14" s="85"/>
      <x:c r="J14" s="85"/>
      <x:c r="K14" s="85"/>
      <x:c r="L14" s="85"/>
      <x:c r="M14" s="95"/>
      <x:c r="N14" s="92"/>
      <x:c r="O14" s="88"/>
      <x:c r="P14" s="85"/>
      <x:c r="Q14" s="89"/>
      <x:c r="R14" s="90" t="str">
        <x:f>IF(OR(O14="",Q14=""),"",O14*Q14*IF(S14="별도",1.1,1))</x:f>
      </x:c>
      <x:c r="S14" s="85"/>
      <x:c r="T14" s="89"/>
      <x:c r="U14" s="89"/>
      <x:c r="V14" s="92"/>
      <x:c r="W14" s="88"/>
      <x:c r="X14" s="89"/>
      <x:c r="Y14" s="90" t="str">
        <x:f>IF(OR(W14="",X14=""),"",W14*X14*IF(S14="별도",1.1,1))</x:f>
      </x:c>
      <x:c r="Z14" s="93"/>
      <x:c r="AA14" s="90" t="str">
        <x:f>IF(OR(R14="",Y14=""),"",R14-Y14)</x:f>
      </x:c>
      <x:c r="AB14" s="90" t="str">
        <x:f>IF($A14="","",IF($B14="취소",0,IF($C14="제외",0,IF($Y14&lt;&gt;"",$Y14,IF($U14&lt;&gt;"",$U14,IF($T14&lt;&gt;"",$T14,$R14))))))</x:f>
      </x:c>
      <x:c r="AC14" s="91"/>
      <x:c r="AD14" s="91"/>
      <x:c r="AE14" s="91"/>
      <x:c r="AF14" s="90" t="str">
        <x:f>IF(AND(AC14="",AD14="",AE14=""),"",SUM(AC14:AE14))</x:f>
      </x:c>
      <x:c r="AG14" s="94"/>
      <x:c r="AH14" s="91" t="str">
        <x:f>IF(Y14="","",Y14-IF(AF14="",0,AF14))</x:f>
      </x:c>
      <x:c r="AI14" s="87"/>
      <x:c r="AJ14" s="87"/>
      <x:c r="AK14" s="87"/>
      <x:c r="AL14" s="87"/>
      <x:c r="AM14" s="87"/>
      <x:c r="AN14" s="85"/>
      <x:c r="AO14" s="85"/>
      <x:c r="AP14" s="85"/>
      <x:c r="AQ14" s="86" t="str">
        <x:f>IF(A14="","",IF(COUNTIF($A$7:$A$156,A14)&gt;1,"ID 중복",IF(F14="","예산 매핑 필요",IF(OR(E14="예산코드 오류",G14="예산코드 오류"),"예산코드 오류",IF(AND(Y14&lt;&gt;"",Z14=""),"구매일 필요",IF(AND(AF14&lt;&gt;"",AG14=""),"지급일 필요",IF(AND(AF14&lt;&gt;"",AN14=""),"증빙ID 필요",IF(OR(Y14&lt;0,AF14&lt;0),"금액 오류",IF(AND(Y14&lt;&gt;"",R14&lt;&gt;"",Y14&gt;R14),"계획 초과","정상")))))))))</x:f>
      </x:c>
    </x:row>
    <x:row r="15" ht="24" customHeight="1">
      <x:c r="A15" s="85"/>
      <x:c r="B15" s="85"/>
      <x:c r="C15" s="85"/>
      <x:c r="D15" s="85"/>
      <x:c r="E15" s="86" t="str">
        <x:f>IF(F15="","",IFERROR(VLOOKUP(F15,'02_승인예산'!$A$7:$S$66,2,FALSE),"예산코드 오류"))</x:f>
      </x:c>
      <x:c r="F15" s="85"/>
      <x:c r="G15" s="86" t="str">
        <x:f>IF(F15="","",IFERROR(VLOOKUP(F15,'02_승인예산'!$A$7:$S$66,4,FALSE),"예산코드 오류"))</x:f>
      </x:c>
      <x:c r="H15" s="85"/>
      <x:c r="I15" s="85"/>
      <x:c r="J15" s="85"/>
      <x:c r="K15" s="85"/>
      <x:c r="L15" s="85"/>
      <x:c r="M15" s="95"/>
      <x:c r="N15" s="92"/>
      <x:c r="O15" s="88"/>
      <x:c r="P15" s="85"/>
      <x:c r="Q15" s="89"/>
      <x:c r="R15" s="90" t="str">
        <x:f>IF(OR(O15="",Q15=""),"",O15*Q15*IF(S15="별도",1.1,1))</x:f>
      </x:c>
      <x:c r="S15" s="85"/>
      <x:c r="T15" s="89"/>
      <x:c r="U15" s="89"/>
      <x:c r="V15" s="92"/>
      <x:c r="W15" s="88"/>
      <x:c r="X15" s="89"/>
      <x:c r="Y15" s="90" t="str">
        <x:f>IF(OR(W15="",X15=""),"",W15*X15*IF(S15="별도",1.1,1))</x:f>
      </x:c>
      <x:c r="Z15" s="93"/>
      <x:c r="AA15" s="90" t="str">
        <x:f>IF(OR(R15="",Y15=""),"",R15-Y15)</x:f>
      </x:c>
      <x:c r="AB15" s="90" t="str">
        <x:f>IF($A15="","",IF($B15="취소",0,IF($C15="제외",0,IF($Y15&lt;&gt;"",$Y15,IF($U15&lt;&gt;"",$U15,IF($T15&lt;&gt;"",$T15,$R15))))))</x:f>
      </x:c>
      <x:c r="AC15" s="91"/>
      <x:c r="AD15" s="91"/>
      <x:c r="AE15" s="91"/>
      <x:c r="AF15" s="90" t="str">
        <x:f>IF(AND(AC15="",AD15="",AE15=""),"",SUM(AC15:AE15))</x:f>
      </x:c>
      <x:c r="AG15" s="94"/>
      <x:c r="AH15" s="91" t="str">
        <x:f>IF(Y15="","",Y15-IF(AF15="",0,AF15))</x:f>
      </x:c>
      <x:c r="AI15" s="87"/>
      <x:c r="AJ15" s="87"/>
      <x:c r="AK15" s="87"/>
      <x:c r="AL15" s="87"/>
      <x:c r="AM15" s="87"/>
      <x:c r="AN15" s="85"/>
      <x:c r="AO15" s="85"/>
      <x:c r="AP15" s="85"/>
      <x:c r="AQ15" s="86" t="str">
        <x:f>IF(A15="","",IF(COUNTIF($A$7:$A$156,A15)&gt;1,"ID 중복",IF(F15="","예산 매핑 필요",IF(OR(E15="예산코드 오류",G15="예산코드 오류"),"예산코드 오류",IF(AND(Y15&lt;&gt;"",Z15=""),"구매일 필요",IF(AND(AF15&lt;&gt;"",AG15=""),"지급일 필요",IF(AND(AF15&lt;&gt;"",AN15=""),"증빙ID 필요",IF(OR(Y15&lt;0,AF15&lt;0),"금액 오류",IF(AND(Y15&lt;&gt;"",R15&lt;&gt;"",Y15&gt;R15),"계획 초과","정상")))))))))</x:f>
      </x:c>
    </x:row>
    <x:row r="16" ht="24" customHeight="1">
      <x:c r="A16" s="85"/>
      <x:c r="B16" s="85"/>
      <x:c r="C16" s="85"/>
      <x:c r="D16" s="85"/>
      <x:c r="E16" s="86" t="str">
        <x:f>IF(F16="","",IFERROR(VLOOKUP(F16,'02_승인예산'!$A$7:$S$66,2,FALSE),"예산코드 오류"))</x:f>
      </x:c>
      <x:c r="F16" s="85"/>
      <x:c r="G16" s="86" t="str">
        <x:f>IF(F16="","",IFERROR(VLOOKUP(F16,'02_승인예산'!$A$7:$S$66,4,FALSE),"예산코드 오류"))</x:f>
      </x:c>
      <x:c r="H16" s="85"/>
      <x:c r="I16" s="85"/>
      <x:c r="J16" s="85"/>
      <x:c r="K16" s="85"/>
      <x:c r="L16" s="85"/>
      <x:c r="M16" s="95"/>
      <x:c r="N16" s="92"/>
      <x:c r="O16" s="88"/>
      <x:c r="P16" s="85"/>
      <x:c r="Q16" s="89"/>
      <x:c r="R16" s="90" t="str">
        <x:f>IF(OR(O16="",Q16=""),"",O16*Q16*IF(S16="별도",1.1,1))</x:f>
      </x:c>
      <x:c r="S16" s="85"/>
      <x:c r="T16" s="89"/>
      <x:c r="U16" s="89"/>
      <x:c r="V16" s="92"/>
      <x:c r="W16" s="88"/>
      <x:c r="X16" s="89"/>
      <x:c r="Y16" s="90" t="str">
        <x:f>IF(OR(W16="",X16=""),"",W16*X16*IF(S16="별도",1.1,1))</x:f>
      </x:c>
      <x:c r="Z16" s="93"/>
      <x:c r="AA16" s="90" t="str">
        <x:f>IF(OR(R16="",Y16=""),"",R16-Y16)</x:f>
      </x:c>
      <x:c r="AB16" s="90" t="str">
        <x:f>IF($A16="","",IF($B16="취소",0,IF($C16="제외",0,IF($Y16&lt;&gt;"",$Y16,IF($U16&lt;&gt;"",$U16,IF($T16&lt;&gt;"",$T16,$R16))))))</x:f>
      </x:c>
      <x:c r="AC16" s="91"/>
      <x:c r="AD16" s="91"/>
      <x:c r="AE16" s="91"/>
      <x:c r="AF16" s="90" t="str">
        <x:f>IF(AND(AC16="",AD16="",AE16=""),"",SUM(AC16:AE16))</x:f>
      </x:c>
      <x:c r="AG16" s="94"/>
      <x:c r="AH16" s="91" t="str">
        <x:f>IF(Y16="","",Y16-IF(AF16="",0,AF16))</x:f>
      </x:c>
      <x:c r="AI16" s="87"/>
      <x:c r="AJ16" s="87"/>
      <x:c r="AK16" s="87"/>
      <x:c r="AL16" s="87"/>
      <x:c r="AM16" s="87"/>
      <x:c r="AN16" s="85"/>
      <x:c r="AO16" s="85"/>
      <x:c r="AP16" s="85"/>
      <x:c r="AQ16" s="86" t="str">
        <x:f>IF(A16="","",IF(COUNTIF($A$7:$A$156,A16)&gt;1,"ID 중복",IF(F16="","예산 매핑 필요",IF(OR(E16="예산코드 오류",G16="예산코드 오류"),"예산코드 오류",IF(AND(Y16&lt;&gt;"",Z16=""),"구매일 필요",IF(AND(AF16&lt;&gt;"",AG16=""),"지급일 필요",IF(AND(AF16&lt;&gt;"",AN16=""),"증빙ID 필요",IF(OR(Y16&lt;0,AF16&lt;0),"금액 오류",IF(AND(Y16&lt;&gt;"",R16&lt;&gt;"",Y16&gt;R16),"계획 초과","정상")))))))))</x:f>
      </x:c>
    </x:row>
    <x:row r="17" ht="24" customHeight="1">
      <x:c r="A17" s="85"/>
      <x:c r="B17" s="85"/>
      <x:c r="C17" s="85"/>
      <x:c r="D17" s="85"/>
      <x:c r="E17" s="86" t="str">
        <x:f>IF(F17="","",IFERROR(VLOOKUP(F17,'02_승인예산'!$A$7:$S$66,2,FALSE),"예산코드 오류"))</x:f>
      </x:c>
      <x:c r="F17" s="85"/>
      <x:c r="G17" s="86" t="str">
        <x:f>IF(F17="","",IFERROR(VLOOKUP(F17,'02_승인예산'!$A$7:$S$66,4,FALSE),"예산코드 오류"))</x:f>
      </x:c>
      <x:c r="H17" s="85"/>
      <x:c r="I17" s="85"/>
      <x:c r="J17" s="85"/>
      <x:c r="K17" s="85"/>
      <x:c r="L17" s="85"/>
      <x:c r="M17" s="95"/>
      <x:c r="N17" s="92"/>
      <x:c r="O17" s="88"/>
      <x:c r="P17" s="85"/>
      <x:c r="Q17" s="89"/>
      <x:c r="R17" s="90" t="str">
        <x:f>IF(OR(O17="",Q17=""),"",O17*Q17*IF(S17="별도",1.1,1))</x:f>
      </x:c>
      <x:c r="S17" s="85"/>
      <x:c r="T17" s="89"/>
      <x:c r="U17" s="89"/>
      <x:c r="V17" s="92"/>
      <x:c r="W17" s="88"/>
      <x:c r="X17" s="89"/>
      <x:c r="Y17" s="90" t="str">
        <x:f>IF(OR(W17="",X17=""),"",W17*X17*IF(S17="별도",1.1,1))</x:f>
      </x:c>
      <x:c r="Z17" s="93"/>
      <x:c r="AA17" s="90" t="str">
        <x:f>IF(OR(R17="",Y17=""),"",R17-Y17)</x:f>
      </x:c>
      <x:c r="AB17" s="90" t="str">
        <x:f>IF($A17="","",IF($B17="취소",0,IF($C17="제외",0,IF($Y17&lt;&gt;"",$Y17,IF($U17&lt;&gt;"",$U17,IF($T17&lt;&gt;"",$T17,$R17))))))</x:f>
      </x:c>
      <x:c r="AC17" s="91"/>
      <x:c r="AD17" s="91"/>
      <x:c r="AE17" s="91"/>
      <x:c r="AF17" s="90" t="str">
        <x:f>IF(AND(AC17="",AD17="",AE17=""),"",SUM(AC17:AE17))</x:f>
      </x:c>
      <x:c r="AG17" s="94"/>
      <x:c r="AH17" s="91" t="str">
        <x:f>IF(Y17="","",Y17-IF(AF17="",0,AF17))</x:f>
      </x:c>
      <x:c r="AI17" s="87"/>
      <x:c r="AJ17" s="87"/>
      <x:c r="AK17" s="87"/>
      <x:c r="AL17" s="87"/>
      <x:c r="AM17" s="87"/>
      <x:c r="AN17" s="85"/>
      <x:c r="AO17" s="85"/>
      <x:c r="AP17" s="85"/>
      <x:c r="AQ17" s="86" t="str">
        <x:f>IF(A17="","",IF(COUNTIF($A$7:$A$156,A17)&gt;1,"ID 중복",IF(F17="","예산 매핑 필요",IF(OR(E17="예산코드 오류",G17="예산코드 오류"),"예산코드 오류",IF(AND(Y17&lt;&gt;"",Z17=""),"구매일 필요",IF(AND(AF17&lt;&gt;"",AG17=""),"지급일 필요",IF(AND(AF17&lt;&gt;"",AN17=""),"증빙ID 필요",IF(OR(Y17&lt;0,AF17&lt;0),"금액 오류",IF(AND(Y17&lt;&gt;"",R17&lt;&gt;"",Y17&gt;R17),"계획 초과","정상")))))))))</x:f>
      </x:c>
    </x:row>
    <x:row r="18" ht="24" customHeight="1">
      <x:c r="A18" s="85"/>
      <x:c r="B18" s="85"/>
      <x:c r="C18" s="85"/>
      <x:c r="D18" s="85"/>
      <x:c r="E18" s="86" t="str">
        <x:f>IF(F18="","",IFERROR(VLOOKUP(F18,'02_승인예산'!$A$7:$S$66,2,FALSE),"예산코드 오류"))</x:f>
      </x:c>
      <x:c r="F18" s="85"/>
      <x:c r="G18" s="86" t="str">
        <x:f>IF(F18="","",IFERROR(VLOOKUP(F18,'02_승인예산'!$A$7:$S$66,4,FALSE),"예산코드 오류"))</x:f>
      </x:c>
      <x:c r="H18" s="85"/>
      <x:c r="I18" s="85"/>
      <x:c r="J18" s="85"/>
      <x:c r="K18" s="85"/>
      <x:c r="L18" s="85"/>
      <x:c r="M18" s="95"/>
      <x:c r="N18" s="92"/>
      <x:c r="O18" s="88"/>
      <x:c r="P18" s="85"/>
      <x:c r="Q18" s="89"/>
      <x:c r="R18" s="90" t="str">
        <x:f>IF(OR(O18="",Q18=""),"",O18*Q18*IF(S18="별도",1.1,1))</x:f>
      </x:c>
      <x:c r="S18" s="85"/>
      <x:c r="T18" s="89"/>
      <x:c r="U18" s="89"/>
      <x:c r="V18" s="92"/>
      <x:c r="W18" s="88"/>
      <x:c r="X18" s="89"/>
      <x:c r="Y18" s="90" t="str">
        <x:f>IF(OR(W18="",X18=""),"",W18*X18*IF(S18="별도",1.1,1))</x:f>
      </x:c>
      <x:c r="Z18" s="93"/>
      <x:c r="AA18" s="90" t="str">
        <x:f>IF(OR(R18="",Y18=""),"",R18-Y18)</x:f>
      </x:c>
      <x:c r="AB18" s="90" t="str">
        <x:f>IF($A18="","",IF($B18="취소",0,IF($C18="제외",0,IF($Y18&lt;&gt;"",$Y18,IF($U18&lt;&gt;"",$U18,IF($T18&lt;&gt;"",$T18,$R18))))))</x:f>
      </x:c>
      <x:c r="AC18" s="91"/>
      <x:c r="AD18" s="91"/>
      <x:c r="AE18" s="91"/>
      <x:c r="AF18" s="90" t="str">
        <x:f>IF(AND(AC18="",AD18="",AE18=""),"",SUM(AC18:AE18))</x:f>
      </x:c>
      <x:c r="AG18" s="94"/>
      <x:c r="AH18" s="91" t="str">
        <x:f>IF(Y18="","",Y18-IF(AF18="",0,AF18))</x:f>
      </x:c>
      <x:c r="AI18" s="87"/>
      <x:c r="AJ18" s="87"/>
      <x:c r="AK18" s="87"/>
      <x:c r="AL18" s="87"/>
      <x:c r="AM18" s="87"/>
      <x:c r="AN18" s="85"/>
      <x:c r="AO18" s="85"/>
      <x:c r="AP18" s="85"/>
      <x:c r="AQ18" s="86" t="str">
        <x:f>IF(A18="","",IF(COUNTIF($A$7:$A$156,A18)&gt;1,"ID 중복",IF(F18="","예산 매핑 필요",IF(OR(E18="예산코드 오류",G18="예산코드 오류"),"예산코드 오류",IF(AND(Y18&lt;&gt;"",Z18=""),"구매일 필요",IF(AND(AF18&lt;&gt;"",AG18=""),"지급일 필요",IF(AND(AF18&lt;&gt;"",AN18=""),"증빙ID 필요",IF(OR(Y18&lt;0,AF18&lt;0),"금액 오류",IF(AND(Y18&lt;&gt;"",R18&lt;&gt;"",Y18&gt;R18),"계획 초과","정상")))))))))</x:f>
      </x:c>
    </x:row>
    <x:row r="19" ht="24" customHeight="1">
      <x:c r="A19" s="85"/>
      <x:c r="B19" s="85"/>
      <x:c r="C19" s="85"/>
      <x:c r="D19" s="85"/>
      <x:c r="E19" s="86" t="str">
        <x:f>IF(F19="","",IFERROR(VLOOKUP(F19,'02_승인예산'!$A$7:$S$66,2,FALSE),"예산코드 오류"))</x:f>
      </x:c>
      <x:c r="F19" s="85"/>
      <x:c r="G19" s="86" t="str">
        <x:f>IF(F19="","",IFERROR(VLOOKUP(F19,'02_승인예산'!$A$7:$S$66,4,FALSE),"예산코드 오류"))</x:f>
      </x:c>
      <x:c r="H19" s="85"/>
      <x:c r="I19" s="85"/>
      <x:c r="J19" s="85"/>
      <x:c r="K19" s="85"/>
      <x:c r="L19" s="85"/>
      <x:c r="M19" s="95"/>
      <x:c r="N19" s="92"/>
      <x:c r="O19" s="88"/>
      <x:c r="P19" s="85"/>
      <x:c r="Q19" s="89"/>
      <x:c r="R19" s="90" t="str">
        <x:f>IF(OR(O19="",Q19=""),"",O19*Q19*IF(S19="별도",1.1,1))</x:f>
      </x:c>
      <x:c r="S19" s="85"/>
      <x:c r="T19" s="89"/>
      <x:c r="U19" s="89"/>
      <x:c r="V19" s="92"/>
      <x:c r="W19" s="88"/>
      <x:c r="X19" s="89"/>
      <x:c r="Y19" s="90" t="str">
        <x:f>IF(OR(W19="",X19=""),"",W19*X19*IF(S19="별도",1.1,1))</x:f>
      </x:c>
      <x:c r="Z19" s="93"/>
      <x:c r="AA19" s="90" t="str">
        <x:f>IF(OR(R19="",Y19=""),"",R19-Y19)</x:f>
      </x:c>
      <x:c r="AB19" s="90" t="str">
        <x:f>IF($A19="","",IF($B19="취소",0,IF($C19="제외",0,IF($Y19&lt;&gt;"",$Y19,IF($U19&lt;&gt;"",$U19,IF($T19&lt;&gt;"",$T19,$R19))))))</x:f>
      </x:c>
      <x:c r="AC19" s="91"/>
      <x:c r="AD19" s="91"/>
      <x:c r="AE19" s="91"/>
      <x:c r="AF19" s="90" t="str">
        <x:f>IF(AND(AC19="",AD19="",AE19=""),"",SUM(AC19:AE19))</x:f>
      </x:c>
      <x:c r="AG19" s="94"/>
      <x:c r="AH19" s="91" t="str">
        <x:f>IF(Y19="","",Y19-IF(AF19="",0,AF19))</x:f>
      </x:c>
      <x:c r="AI19" s="87"/>
      <x:c r="AJ19" s="87"/>
      <x:c r="AK19" s="87"/>
      <x:c r="AL19" s="87"/>
      <x:c r="AM19" s="87"/>
      <x:c r="AN19" s="85"/>
      <x:c r="AO19" s="85"/>
      <x:c r="AP19" s="85"/>
      <x:c r="AQ19" s="86" t="str">
        <x:f>IF(A19="","",IF(COUNTIF($A$7:$A$156,A19)&gt;1,"ID 중복",IF(F19="","예산 매핑 필요",IF(OR(E19="예산코드 오류",G19="예산코드 오류"),"예산코드 오류",IF(AND(Y19&lt;&gt;"",Z19=""),"구매일 필요",IF(AND(AF19&lt;&gt;"",AG19=""),"지급일 필요",IF(AND(AF19&lt;&gt;"",AN19=""),"증빙ID 필요",IF(OR(Y19&lt;0,AF19&lt;0),"금액 오류",IF(AND(Y19&lt;&gt;"",R19&lt;&gt;"",Y19&gt;R19),"계획 초과","정상")))))))))</x:f>
      </x:c>
    </x:row>
    <x:row r="20" ht="24" customHeight="1">
      <x:c r="A20" s="85"/>
      <x:c r="B20" s="85"/>
      <x:c r="C20" s="85"/>
      <x:c r="D20" s="85"/>
      <x:c r="E20" s="86" t="str">
        <x:f>IF(F20="","",IFERROR(VLOOKUP(F20,'02_승인예산'!$A$7:$S$66,2,FALSE),"예산코드 오류"))</x:f>
      </x:c>
      <x:c r="F20" s="85"/>
      <x:c r="G20" s="86" t="str">
        <x:f>IF(F20="","",IFERROR(VLOOKUP(F20,'02_승인예산'!$A$7:$S$66,4,FALSE),"예산코드 오류"))</x:f>
      </x:c>
      <x:c r="H20" s="85"/>
      <x:c r="I20" s="85"/>
      <x:c r="J20" s="85"/>
      <x:c r="K20" s="85"/>
      <x:c r="L20" s="85"/>
      <x:c r="M20" s="95"/>
      <x:c r="N20" s="92"/>
      <x:c r="O20" s="88"/>
      <x:c r="P20" s="85"/>
      <x:c r="Q20" s="89"/>
      <x:c r="R20" s="90" t="str">
        <x:f>IF(OR(O20="",Q20=""),"",O20*Q20*IF(S20="별도",1.1,1))</x:f>
      </x:c>
      <x:c r="S20" s="85"/>
      <x:c r="T20" s="89"/>
      <x:c r="U20" s="89"/>
      <x:c r="V20" s="92"/>
      <x:c r="W20" s="88"/>
      <x:c r="X20" s="89"/>
      <x:c r="Y20" s="90" t="str">
        <x:f>IF(OR(W20="",X20=""),"",W20*X20*IF(S20="별도",1.1,1))</x:f>
      </x:c>
      <x:c r="Z20" s="93"/>
      <x:c r="AA20" s="90" t="str">
        <x:f>IF(OR(R20="",Y20=""),"",R20-Y20)</x:f>
      </x:c>
      <x:c r="AB20" s="90" t="str">
        <x:f>IF($A20="","",IF($B20="취소",0,IF($C20="제외",0,IF($Y20&lt;&gt;"",$Y20,IF($U20&lt;&gt;"",$U20,IF($T20&lt;&gt;"",$T20,$R20))))))</x:f>
      </x:c>
      <x:c r="AC20" s="91"/>
      <x:c r="AD20" s="91"/>
      <x:c r="AE20" s="91"/>
      <x:c r="AF20" s="90" t="str">
        <x:f>IF(AND(AC20="",AD20="",AE20=""),"",SUM(AC20:AE20))</x:f>
      </x:c>
      <x:c r="AG20" s="94"/>
      <x:c r="AH20" s="91" t="str">
        <x:f>IF(Y20="","",Y20-IF(AF20="",0,AF20))</x:f>
      </x:c>
      <x:c r="AI20" s="87"/>
      <x:c r="AJ20" s="87"/>
      <x:c r="AK20" s="87"/>
      <x:c r="AL20" s="87"/>
      <x:c r="AM20" s="87"/>
      <x:c r="AN20" s="85"/>
      <x:c r="AO20" s="85"/>
      <x:c r="AP20" s="85"/>
      <x:c r="AQ20" s="86" t="str">
        <x:f>IF(A20="","",IF(COUNTIF($A$7:$A$156,A20)&gt;1,"ID 중복",IF(F20="","예산 매핑 필요",IF(OR(E20="예산코드 오류",G20="예산코드 오류"),"예산코드 오류",IF(AND(Y20&lt;&gt;"",Z20=""),"구매일 필요",IF(AND(AF20&lt;&gt;"",AG20=""),"지급일 필요",IF(AND(AF20&lt;&gt;"",AN20=""),"증빙ID 필요",IF(OR(Y20&lt;0,AF20&lt;0),"금액 오류",IF(AND(Y20&lt;&gt;"",R20&lt;&gt;"",Y20&gt;R20),"계획 초과","정상")))))))))</x:f>
      </x:c>
    </x:row>
    <x:row r="21" ht="24" customHeight="1">
      <x:c r="A21" s="85"/>
      <x:c r="B21" s="85"/>
      <x:c r="C21" s="85"/>
      <x:c r="D21" s="85"/>
      <x:c r="E21" s="86" t="str">
        <x:f>IF(F21="","",IFERROR(VLOOKUP(F21,'02_승인예산'!$A$7:$S$66,2,FALSE),"예산코드 오류"))</x:f>
      </x:c>
      <x:c r="F21" s="85"/>
      <x:c r="G21" s="86" t="str">
        <x:f>IF(F21="","",IFERROR(VLOOKUP(F21,'02_승인예산'!$A$7:$S$66,4,FALSE),"예산코드 오류"))</x:f>
      </x:c>
      <x:c r="H21" s="85"/>
      <x:c r="I21" s="85"/>
      <x:c r="J21" s="85"/>
      <x:c r="K21" s="85"/>
      <x:c r="L21" s="85"/>
      <x:c r="M21" s="95"/>
      <x:c r="N21" s="92"/>
      <x:c r="O21" s="88"/>
      <x:c r="P21" s="85"/>
      <x:c r="Q21" s="89"/>
      <x:c r="R21" s="90" t="str">
        <x:f>IF(OR(O21="",Q21=""),"",O21*Q21*IF(S21="별도",1.1,1))</x:f>
      </x:c>
      <x:c r="S21" s="85"/>
      <x:c r="T21" s="89"/>
      <x:c r="U21" s="89"/>
      <x:c r="V21" s="92"/>
      <x:c r="W21" s="88"/>
      <x:c r="X21" s="89"/>
      <x:c r="Y21" s="90" t="str">
        <x:f>IF(OR(W21="",X21=""),"",W21*X21*IF(S21="별도",1.1,1))</x:f>
      </x:c>
      <x:c r="Z21" s="93"/>
      <x:c r="AA21" s="90" t="str">
        <x:f>IF(OR(R21="",Y21=""),"",R21-Y21)</x:f>
      </x:c>
      <x:c r="AB21" s="90" t="str">
        <x:f>IF($A21="","",IF($B21="취소",0,IF($C21="제외",0,IF($Y21&lt;&gt;"",$Y21,IF($U21&lt;&gt;"",$U21,IF($T21&lt;&gt;"",$T21,$R21))))))</x:f>
      </x:c>
      <x:c r="AC21" s="91"/>
      <x:c r="AD21" s="91"/>
      <x:c r="AE21" s="91"/>
      <x:c r="AF21" s="90" t="str">
        <x:f>IF(AND(AC21="",AD21="",AE21=""),"",SUM(AC21:AE21))</x:f>
      </x:c>
      <x:c r="AG21" s="94"/>
      <x:c r="AH21" s="91" t="str">
        <x:f>IF(Y21="","",Y21-IF(AF21="",0,AF21))</x:f>
      </x:c>
      <x:c r="AI21" s="87"/>
      <x:c r="AJ21" s="87"/>
      <x:c r="AK21" s="87"/>
      <x:c r="AL21" s="87"/>
      <x:c r="AM21" s="87"/>
      <x:c r="AN21" s="85"/>
      <x:c r="AO21" s="85"/>
      <x:c r="AP21" s="85"/>
      <x:c r="AQ21" s="86" t="str">
        <x:f>IF(A21="","",IF(COUNTIF($A$7:$A$156,A21)&gt;1,"ID 중복",IF(F21="","예산 매핑 필요",IF(OR(E21="예산코드 오류",G21="예산코드 오류"),"예산코드 오류",IF(AND(Y21&lt;&gt;"",Z21=""),"구매일 필요",IF(AND(AF21&lt;&gt;"",AG21=""),"지급일 필요",IF(AND(AF21&lt;&gt;"",AN21=""),"증빙ID 필요",IF(OR(Y21&lt;0,AF21&lt;0),"금액 오류",IF(AND(Y21&lt;&gt;"",R21&lt;&gt;"",Y21&gt;R21),"계획 초과","정상")))))))))</x:f>
      </x:c>
    </x:row>
    <x:row r="22" ht="24" customHeight="1">
      <x:c r="A22" s="85"/>
      <x:c r="B22" s="85"/>
      <x:c r="C22" s="85"/>
      <x:c r="D22" s="85"/>
      <x:c r="E22" s="86" t="str">
        <x:f>IF(F22="","",IFERROR(VLOOKUP(F22,'02_승인예산'!$A$7:$S$66,2,FALSE),"예산코드 오류"))</x:f>
      </x:c>
      <x:c r="F22" s="85"/>
      <x:c r="G22" s="86" t="str">
        <x:f>IF(F22="","",IFERROR(VLOOKUP(F22,'02_승인예산'!$A$7:$S$66,4,FALSE),"예산코드 오류"))</x:f>
      </x:c>
      <x:c r="H22" s="85"/>
      <x:c r="I22" s="85"/>
      <x:c r="J22" s="85"/>
      <x:c r="K22" s="85"/>
      <x:c r="L22" s="85"/>
      <x:c r="M22" s="95"/>
      <x:c r="N22" s="92"/>
      <x:c r="O22" s="88"/>
      <x:c r="P22" s="85"/>
      <x:c r="Q22" s="89"/>
      <x:c r="R22" s="90" t="str">
        <x:f>IF(OR(O22="",Q22=""),"",O22*Q22*IF(S22="별도",1.1,1))</x:f>
      </x:c>
      <x:c r="S22" s="85"/>
      <x:c r="T22" s="89"/>
      <x:c r="U22" s="89"/>
      <x:c r="V22" s="92"/>
      <x:c r="W22" s="88"/>
      <x:c r="X22" s="89"/>
      <x:c r="Y22" s="90" t="str">
        <x:f>IF(OR(W22="",X22=""),"",W22*X22*IF(S22="별도",1.1,1))</x:f>
      </x:c>
      <x:c r="Z22" s="93"/>
      <x:c r="AA22" s="90" t="str">
        <x:f>IF(OR(R22="",Y22=""),"",R22-Y22)</x:f>
      </x:c>
      <x:c r="AB22" s="90" t="str">
        <x:f>IF($A22="","",IF($B22="취소",0,IF($C22="제외",0,IF($Y22&lt;&gt;"",$Y22,IF($U22&lt;&gt;"",$U22,IF($T22&lt;&gt;"",$T22,$R22))))))</x:f>
      </x:c>
      <x:c r="AC22" s="91"/>
      <x:c r="AD22" s="91"/>
      <x:c r="AE22" s="91"/>
      <x:c r="AF22" s="90" t="str">
        <x:f>IF(AND(AC22="",AD22="",AE22=""),"",SUM(AC22:AE22))</x:f>
      </x:c>
      <x:c r="AG22" s="94"/>
      <x:c r="AH22" s="91" t="str">
        <x:f>IF(Y22="","",Y22-IF(AF22="",0,AF22))</x:f>
      </x:c>
      <x:c r="AI22" s="87"/>
      <x:c r="AJ22" s="87"/>
      <x:c r="AK22" s="87"/>
      <x:c r="AL22" s="87"/>
      <x:c r="AM22" s="87"/>
      <x:c r="AN22" s="85"/>
      <x:c r="AO22" s="85"/>
      <x:c r="AP22" s="85"/>
      <x:c r="AQ22" s="86" t="str">
        <x:f>IF(A22="","",IF(COUNTIF($A$7:$A$156,A22)&gt;1,"ID 중복",IF(F22="","예산 매핑 필요",IF(OR(E22="예산코드 오류",G22="예산코드 오류"),"예산코드 오류",IF(AND(Y22&lt;&gt;"",Z22=""),"구매일 필요",IF(AND(AF22&lt;&gt;"",AG22=""),"지급일 필요",IF(AND(AF22&lt;&gt;"",AN22=""),"증빙ID 필요",IF(OR(Y22&lt;0,AF22&lt;0),"금액 오류",IF(AND(Y22&lt;&gt;"",R22&lt;&gt;"",Y22&gt;R22),"계획 초과","정상")))))))))</x:f>
      </x:c>
    </x:row>
    <x:row r="23" ht="24" customHeight="1">
      <x:c r="A23" s="85"/>
      <x:c r="B23" s="85"/>
      <x:c r="C23" s="85"/>
      <x:c r="D23" s="85"/>
      <x:c r="E23" s="86" t="str">
        <x:f>IF(F23="","",IFERROR(VLOOKUP(F23,'02_승인예산'!$A$7:$S$66,2,FALSE),"예산코드 오류"))</x:f>
      </x:c>
      <x:c r="F23" s="85"/>
      <x:c r="G23" s="86" t="str">
        <x:f>IF(F23="","",IFERROR(VLOOKUP(F23,'02_승인예산'!$A$7:$S$66,4,FALSE),"예산코드 오류"))</x:f>
      </x:c>
      <x:c r="H23" s="85"/>
      <x:c r="I23" s="85"/>
      <x:c r="J23" s="85"/>
      <x:c r="K23" s="85"/>
      <x:c r="L23" s="85"/>
      <x:c r="M23" s="95"/>
      <x:c r="N23" s="92"/>
      <x:c r="O23" s="88"/>
      <x:c r="P23" s="85"/>
      <x:c r="Q23" s="89"/>
      <x:c r="R23" s="90" t="str">
        <x:f>IF(OR(O23="",Q23=""),"",O23*Q23*IF(S23="별도",1.1,1))</x:f>
      </x:c>
      <x:c r="S23" s="85"/>
      <x:c r="T23" s="89"/>
      <x:c r="U23" s="89"/>
      <x:c r="V23" s="92"/>
      <x:c r="W23" s="88"/>
      <x:c r="X23" s="89"/>
      <x:c r="Y23" s="90" t="str">
        <x:f>IF(OR(W23="",X23=""),"",W23*X23*IF(S23="별도",1.1,1))</x:f>
      </x:c>
      <x:c r="Z23" s="93"/>
      <x:c r="AA23" s="90" t="str">
        <x:f>IF(OR(R23="",Y23=""),"",R23-Y23)</x:f>
      </x:c>
      <x:c r="AB23" s="90" t="str">
        <x:f>IF($A23="","",IF($B23="취소",0,IF($C23="제외",0,IF($Y23&lt;&gt;"",$Y23,IF($U23&lt;&gt;"",$U23,IF($T23&lt;&gt;"",$T23,$R23))))))</x:f>
      </x:c>
      <x:c r="AC23" s="91"/>
      <x:c r="AD23" s="91"/>
      <x:c r="AE23" s="91"/>
      <x:c r="AF23" s="90" t="str">
        <x:f>IF(AND(AC23="",AD23="",AE23=""),"",SUM(AC23:AE23))</x:f>
      </x:c>
      <x:c r="AG23" s="94"/>
      <x:c r="AH23" s="91" t="str">
        <x:f>IF(Y23="","",Y23-IF(AF23="",0,AF23))</x:f>
      </x:c>
      <x:c r="AI23" s="87"/>
      <x:c r="AJ23" s="87"/>
      <x:c r="AK23" s="87"/>
      <x:c r="AL23" s="87"/>
      <x:c r="AM23" s="87"/>
      <x:c r="AN23" s="85"/>
      <x:c r="AO23" s="85"/>
      <x:c r="AP23" s="85"/>
      <x:c r="AQ23" s="86" t="str">
        <x:f>IF(A23="","",IF(COUNTIF($A$7:$A$156,A23)&gt;1,"ID 중복",IF(F23="","예산 매핑 필요",IF(OR(E23="예산코드 오류",G23="예산코드 오류"),"예산코드 오류",IF(AND(Y23&lt;&gt;"",Z23=""),"구매일 필요",IF(AND(AF23&lt;&gt;"",AG23=""),"지급일 필요",IF(AND(AF23&lt;&gt;"",AN23=""),"증빙ID 필요",IF(OR(Y23&lt;0,AF23&lt;0),"금액 오류",IF(AND(Y23&lt;&gt;"",R23&lt;&gt;"",Y23&gt;R23),"계획 초과","정상")))))))))</x:f>
      </x:c>
    </x:row>
    <x:row r="24" ht="24" customHeight="1">
      <x:c r="A24" s="85"/>
      <x:c r="B24" s="85"/>
      <x:c r="C24" s="85"/>
      <x:c r="D24" s="85"/>
      <x:c r="E24" s="86" t="str">
        <x:f>IF(F24="","",IFERROR(VLOOKUP(F24,'02_승인예산'!$A$7:$S$66,2,FALSE),"예산코드 오류"))</x:f>
      </x:c>
      <x:c r="F24" s="85"/>
      <x:c r="G24" s="86" t="str">
        <x:f>IF(F24="","",IFERROR(VLOOKUP(F24,'02_승인예산'!$A$7:$S$66,4,FALSE),"예산코드 오류"))</x:f>
      </x:c>
      <x:c r="H24" s="85"/>
      <x:c r="I24" s="85"/>
      <x:c r="J24" s="85"/>
      <x:c r="K24" s="85"/>
      <x:c r="L24" s="85"/>
      <x:c r="M24" s="95"/>
      <x:c r="N24" s="92"/>
      <x:c r="O24" s="88"/>
      <x:c r="P24" s="85"/>
      <x:c r="Q24" s="89"/>
      <x:c r="R24" s="90" t="str">
        <x:f>IF(OR(O24="",Q24=""),"",O24*Q24*IF(S24="별도",1.1,1))</x:f>
      </x:c>
      <x:c r="S24" s="85"/>
      <x:c r="T24" s="89"/>
      <x:c r="U24" s="89"/>
      <x:c r="V24" s="92"/>
      <x:c r="W24" s="88"/>
      <x:c r="X24" s="89"/>
      <x:c r="Y24" s="90" t="str">
        <x:f>IF(OR(W24="",X24=""),"",W24*X24*IF(S24="별도",1.1,1))</x:f>
      </x:c>
      <x:c r="Z24" s="93"/>
      <x:c r="AA24" s="90" t="str">
        <x:f>IF(OR(R24="",Y24=""),"",R24-Y24)</x:f>
      </x:c>
      <x:c r="AB24" s="90" t="str">
        <x:f>IF($A24="","",IF($B24="취소",0,IF($C24="제외",0,IF($Y24&lt;&gt;"",$Y24,IF($U24&lt;&gt;"",$U24,IF($T24&lt;&gt;"",$T24,$R24))))))</x:f>
      </x:c>
      <x:c r="AC24" s="91"/>
      <x:c r="AD24" s="91"/>
      <x:c r="AE24" s="91"/>
      <x:c r="AF24" s="90" t="str">
        <x:f>IF(AND(AC24="",AD24="",AE24=""),"",SUM(AC24:AE24))</x:f>
      </x:c>
      <x:c r="AG24" s="94"/>
      <x:c r="AH24" s="91" t="str">
        <x:f>IF(Y24="","",Y24-IF(AF24="",0,AF24))</x:f>
      </x:c>
      <x:c r="AI24" s="87"/>
      <x:c r="AJ24" s="87"/>
      <x:c r="AK24" s="87"/>
      <x:c r="AL24" s="87"/>
      <x:c r="AM24" s="87"/>
      <x:c r="AN24" s="85"/>
      <x:c r="AO24" s="85"/>
      <x:c r="AP24" s="85"/>
      <x:c r="AQ24" s="86" t="str">
        <x:f>IF(A24="","",IF(COUNTIF($A$7:$A$156,A24)&gt;1,"ID 중복",IF(F24="","예산 매핑 필요",IF(OR(E24="예산코드 오류",G24="예산코드 오류"),"예산코드 오류",IF(AND(Y24&lt;&gt;"",Z24=""),"구매일 필요",IF(AND(AF24&lt;&gt;"",AG24=""),"지급일 필요",IF(AND(AF24&lt;&gt;"",AN24=""),"증빙ID 필요",IF(OR(Y24&lt;0,AF24&lt;0),"금액 오류",IF(AND(Y24&lt;&gt;"",R24&lt;&gt;"",Y24&gt;R24),"계획 초과","정상")))))))))</x:f>
      </x:c>
    </x:row>
    <x:row r="25" ht="24" customHeight="1">
      <x:c r="A25" s="85"/>
      <x:c r="B25" s="85"/>
      <x:c r="C25" s="85"/>
      <x:c r="D25" s="85"/>
      <x:c r="E25" s="86" t="str">
        <x:f>IF(F25="","",IFERROR(VLOOKUP(F25,'02_승인예산'!$A$7:$S$66,2,FALSE),"예산코드 오류"))</x:f>
      </x:c>
      <x:c r="F25" s="85"/>
      <x:c r="G25" s="86" t="str">
        <x:f>IF(F25="","",IFERROR(VLOOKUP(F25,'02_승인예산'!$A$7:$S$66,4,FALSE),"예산코드 오류"))</x:f>
      </x:c>
      <x:c r="H25" s="85"/>
      <x:c r="I25" s="85"/>
      <x:c r="J25" s="85"/>
      <x:c r="K25" s="85"/>
      <x:c r="L25" s="85"/>
      <x:c r="M25" s="95"/>
      <x:c r="N25" s="92"/>
      <x:c r="O25" s="88"/>
      <x:c r="P25" s="85"/>
      <x:c r="Q25" s="89"/>
      <x:c r="R25" s="90" t="str">
        <x:f>IF(OR(O25="",Q25=""),"",O25*Q25*IF(S25="별도",1.1,1))</x:f>
      </x:c>
      <x:c r="S25" s="85"/>
      <x:c r="T25" s="89"/>
      <x:c r="U25" s="89"/>
      <x:c r="V25" s="92"/>
      <x:c r="W25" s="88"/>
      <x:c r="X25" s="89"/>
      <x:c r="Y25" s="90" t="str">
        <x:f>IF(OR(W25="",X25=""),"",W25*X25*IF(S25="별도",1.1,1))</x:f>
      </x:c>
      <x:c r="Z25" s="93"/>
      <x:c r="AA25" s="90" t="str">
        <x:f>IF(OR(R25="",Y25=""),"",R25-Y25)</x:f>
      </x:c>
      <x:c r="AB25" s="90" t="str">
        <x:f>IF($A25="","",IF($B25="취소",0,IF($C25="제외",0,IF($Y25&lt;&gt;"",$Y25,IF($U25&lt;&gt;"",$U25,IF($T25&lt;&gt;"",$T25,$R25))))))</x:f>
      </x:c>
      <x:c r="AC25" s="91"/>
      <x:c r="AD25" s="91"/>
      <x:c r="AE25" s="91"/>
      <x:c r="AF25" s="90" t="str">
        <x:f>IF(AND(AC25="",AD25="",AE25=""),"",SUM(AC25:AE25))</x:f>
      </x:c>
      <x:c r="AG25" s="94"/>
      <x:c r="AH25" s="91" t="str">
        <x:f>IF(Y25="","",Y25-IF(AF25="",0,AF25))</x:f>
      </x:c>
      <x:c r="AI25" s="87"/>
      <x:c r="AJ25" s="87"/>
      <x:c r="AK25" s="87"/>
      <x:c r="AL25" s="87"/>
      <x:c r="AM25" s="87"/>
      <x:c r="AN25" s="85"/>
      <x:c r="AO25" s="85"/>
      <x:c r="AP25" s="85"/>
      <x:c r="AQ25" s="86" t="str">
        <x:f>IF(A25="","",IF(COUNTIF($A$7:$A$156,A25)&gt;1,"ID 중복",IF(F25="","예산 매핑 필요",IF(OR(E25="예산코드 오류",G25="예산코드 오류"),"예산코드 오류",IF(AND(Y25&lt;&gt;"",Z25=""),"구매일 필요",IF(AND(AF25&lt;&gt;"",AG25=""),"지급일 필요",IF(AND(AF25&lt;&gt;"",AN25=""),"증빙ID 필요",IF(OR(Y25&lt;0,AF25&lt;0),"금액 오류",IF(AND(Y25&lt;&gt;"",R25&lt;&gt;"",Y25&gt;R25),"계획 초과","정상")))))))))</x:f>
      </x:c>
    </x:row>
    <x:row r="26" ht="24" customHeight="1">
      <x:c r="A26" s="85"/>
      <x:c r="B26" s="85"/>
      <x:c r="C26" s="85"/>
      <x:c r="D26" s="85"/>
      <x:c r="E26" s="86" t="str">
        <x:f>IF(F26="","",IFERROR(VLOOKUP(F26,'02_승인예산'!$A$7:$S$66,2,FALSE),"예산코드 오류"))</x:f>
      </x:c>
      <x:c r="F26" s="85"/>
      <x:c r="G26" s="86" t="str">
        <x:f>IF(F26="","",IFERROR(VLOOKUP(F26,'02_승인예산'!$A$7:$S$66,4,FALSE),"예산코드 오류"))</x:f>
      </x:c>
      <x:c r="H26" s="85"/>
      <x:c r="I26" s="85"/>
      <x:c r="J26" s="85"/>
      <x:c r="K26" s="85"/>
      <x:c r="L26" s="85"/>
      <x:c r="M26" s="95"/>
      <x:c r="N26" s="92"/>
      <x:c r="O26" s="88"/>
      <x:c r="P26" s="85"/>
      <x:c r="Q26" s="89"/>
      <x:c r="R26" s="90" t="str">
        <x:f>IF(OR(O26="",Q26=""),"",O26*Q26*IF(S26="별도",1.1,1))</x:f>
      </x:c>
      <x:c r="S26" s="85"/>
      <x:c r="T26" s="89"/>
      <x:c r="U26" s="89"/>
      <x:c r="V26" s="92"/>
      <x:c r="W26" s="88"/>
      <x:c r="X26" s="89"/>
      <x:c r="Y26" s="90" t="str">
        <x:f>IF(OR(W26="",X26=""),"",W26*X26*IF(S26="별도",1.1,1))</x:f>
      </x:c>
      <x:c r="Z26" s="93"/>
      <x:c r="AA26" s="90" t="str">
        <x:f>IF(OR(R26="",Y26=""),"",R26-Y26)</x:f>
      </x:c>
      <x:c r="AB26" s="90" t="str">
        <x:f>IF($A26="","",IF($B26="취소",0,IF($C26="제외",0,IF($Y26&lt;&gt;"",$Y26,IF($U26&lt;&gt;"",$U26,IF($T26&lt;&gt;"",$T26,$R26))))))</x:f>
      </x:c>
      <x:c r="AC26" s="91"/>
      <x:c r="AD26" s="91"/>
      <x:c r="AE26" s="91"/>
      <x:c r="AF26" s="90" t="str">
        <x:f>IF(AND(AC26="",AD26="",AE26=""),"",SUM(AC26:AE26))</x:f>
      </x:c>
      <x:c r="AG26" s="94"/>
      <x:c r="AH26" s="91" t="str">
        <x:f>IF(Y26="","",Y26-IF(AF26="",0,AF26))</x:f>
      </x:c>
      <x:c r="AI26" s="87"/>
      <x:c r="AJ26" s="87"/>
      <x:c r="AK26" s="87"/>
      <x:c r="AL26" s="87"/>
      <x:c r="AM26" s="87"/>
      <x:c r="AN26" s="85"/>
      <x:c r="AO26" s="85"/>
      <x:c r="AP26" s="85"/>
      <x:c r="AQ26" s="86" t="str">
        <x:f>IF(A26="","",IF(COUNTIF($A$7:$A$156,A26)&gt;1,"ID 중복",IF(F26="","예산 매핑 필요",IF(OR(E26="예산코드 오류",G26="예산코드 오류"),"예산코드 오류",IF(AND(Y26&lt;&gt;"",Z26=""),"구매일 필요",IF(AND(AF26&lt;&gt;"",AG26=""),"지급일 필요",IF(AND(AF26&lt;&gt;"",AN26=""),"증빙ID 필요",IF(OR(Y26&lt;0,AF26&lt;0),"금액 오류",IF(AND(Y26&lt;&gt;"",R26&lt;&gt;"",Y26&gt;R26),"계획 초과","정상")))))))))</x:f>
      </x:c>
    </x:row>
    <x:row r="27" ht="24" customHeight="1">
      <x:c r="A27" s="85"/>
      <x:c r="B27" s="85"/>
      <x:c r="C27" s="85"/>
      <x:c r="D27" s="85"/>
      <x:c r="E27" s="86" t="str">
        <x:f>IF(F27="","",IFERROR(VLOOKUP(F27,'02_승인예산'!$A$7:$S$66,2,FALSE),"예산코드 오류"))</x:f>
      </x:c>
      <x:c r="F27" s="85"/>
      <x:c r="G27" s="86" t="str">
        <x:f>IF(F27="","",IFERROR(VLOOKUP(F27,'02_승인예산'!$A$7:$S$66,4,FALSE),"예산코드 오류"))</x:f>
      </x:c>
      <x:c r="H27" s="85"/>
      <x:c r="I27" s="85"/>
      <x:c r="J27" s="85"/>
      <x:c r="K27" s="85"/>
      <x:c r="L27" s="85"/>
      <x:c r="M27" s="95"/>
      <x:c r="N27" s="92"/>
      <x:c r="O27" s="88"/>
      <x:c r="P27" s="85"/>
      <x:c r="Q27" s="89"/>
      <x:c r="R27" s="90" t="str">
        <x:f>IF(OR(O27="",Q27=""),"",O27*Q27*IF(S27="별도",1.1,1))</x:f>
      </x:c>
      <x:c r="S27" s="85"/>
      <x:c r="T27" s="89"/>
      <x:c r="U27" s="89"/>
      <x:c r="V27" s="92"/>
      <x:c r="W27" s="88"/>
      <x:c r="X27" s="89"/>
      <x:c r="Y27" s="90" t="str">
        <x:f>IF(OR(W27="",X27=""),"",W27*X27*IF(S27="별도",1.1,1))</x:f>
      </x:c>
      <x:c r="Z27" s="93"/>
      <x:c r="AA27" s="90" t="str">
        <x:f>IF(OR(R27="",Y27=""),"",R27-Y27)</x:f>
      </x:c>
      <x:c r="AB27" s="90" t="str">
        <x:f>IF($A27="","",IF($B27="취소",0,IF($C27="제외",0,IF($Y27&lt;&gt;"",$Y27,IF($U27&lt;&gt;"",$U27,IF($T27&lt;&gt;"",$T27,$R27))))))</x:f>
      </x:c>
      <x:c r="AC27" s="91"/>
      <x:c r="AD27" s="91"/>
      <x:c r="AE27" s="91"/>
      <x:c r="AF27" s="90" t="str">
        <x:f>IF(AND(AC27="",AD27="",AE27=""),"",SUM(AC27:AE27))</x:f>
      </x:c>
      <x:c r="AG27" s="94"/>
      <x:c r="AH27" s="91" t="str">
        <x:f>IF(Y27="","",Y27-IF(AF27="",0,AF27))</x:f>
      </x:c>
      <x:c r="AI27" s="87"/>
      <x:c r="AJ27" s="87"/>
      <x:c r="AK27" s="87"/>
      <x:c r="AL27" s="87"/>
      <x:c r="AM27" s="87"/>
      <x:c r="AN27" s="85"/>
      <x:c r="AO27" s="85"/>
      <x:c r="AP27" s="85"/>
      <x:c r="AQ27" s="86" t="str">
        <x:f>IF(A27="","",IF(COUNTIF($A$7:$A$156,A27)&gt;1,"ID 중복",IF(F27="","예산 매핑 필요",IF(OR(E27="예산코드 오류",G27="예산코드 오류"),"예산코드 오류",IF(AND(Y27&lt;&gt;"",Z27=""),"구매일 필요",IF(AND(AF27&lt;&gt;"",AG27=""),"지급일 필요",IF(AND(AF27&lt;&gt;"",AN27=""),"증빙ID 필요",IF(OR(Y27&lt;0,AF27&lt;0),"금액 오류",IF(AND(Y27&lt;&gt;"",R27&lt;&gt;"",Y27&gt;R27),"계획 초과","정상")))))))))</x:f>
      </x:c>
    </x:row>
    <x:row r="28" ht="24" customHeight="1">
      <x:c r="A28" s="85"/>
      <x:c r="B28" s="85"/>
      <x:c r="C28" s="85"/>
      <x:c r="D28" s="85"/>
      <x:c r="E28" s="86" t="str">
        <x:f>IF(F28="","",IFERROR(VLOOKUP(F28,'02_승인예산'!$A$7:$S$66,2,FALSE),"예산코드 오류"))</x:f>
      </x:c>
      <x:c r="F28" s="85"/>
      <x:c r="G28" s="86" t="str">
        <x:f>IF(F28="","",IFERROR(VLOOKUP(F28,'02_승인예산'!$A$7:$S$66,4,FALSE),"예산코드 오류"))</x:f>
      </x:c>
      <x:c r="H28" s="85"/>
      <x:c r="I28" s="85"/>
      <x:c r="J28" s="85"/>
      <x:c r="K28" s="85"/>
      <x:c r="L28" s="85"/>
      <x:c r="M28" s="95"/>
      <x:c r="N28" s="92"/>
      <x:c r="O28" s="88"/>
      <x:c r="P28" s="85"/>
      <x:c r="Q28" s="89"/>
      <x:c r="R28" s="90" t="str">
        <x:f>IF(OR(O28="",Q28=""),"",O28*Q28*IF(S28="별도",1.1,1))</x:f>
      </x:c>
      <x:c r="S28" s="85"/>
      <x:c r="T28" s="89"/>
      <x:c r="U28" s="89"/>
      <x:c r="V28" s="92"/>
      <x:c r="W28" s="88"/>
      <x:c r="X28" s="89"/>
      <x:c r="Y28" s="90" t="str">
        <x:f>IF(OR(W28="",X28=""),"",W28*X28*IF(S28="별도",1.1,1))</x:f>
      </x:c>
      <x:c r="Z28" s="93"/>
      <x:c r="AA28" s="90" t="str">
        <x:f>IF(OR(R28="",Y28=""),"",R28-Y28)</x:f>
      </x:c>
      <x:c r="AB28" s="90" t="str">
        <x:f>IF($A28="","",IF($B28="취소",0,IF($C28="제외",0,IF($Y28&lt;&gt;"",$Y28,IF($U28&lt;&gt;"",$U28,IF($T28&lt;&gt;"",$T28,$R28))))))</x:f>
      </x:c>
      <x:c r="AC28" s="91"/>
      <x:c r="AD28" s="91"/>
      <x:c r="AE28" s="91"/>
      <x:c r="AF28" s="90" t="str">
        <x:f>IF(AND(AC28="",AD28="",AE28=""),"",SUM(AC28:AE28))</x:f>
      </x:c>
      <x:c r="AG28" s="94"/>
      <x:c r="AH28" s="91" t="str">
        <x:f>IF(Y28="","",Y28-IF(AF28="",0,AF28))</x:f>
      </x:c>
      <x:c r="AI28" s="87"/>
      <x:c r="AJ28" s="87"/>
      <x:c r="AK28" s="87"/>
      <x:c r="AL28" s="87"/>
      <x:c r="AM28" s="87"/>
      <x:c r="AN28" s="85"/>
      <x:c r="AO28" s="85"/>
      <x:c r="AP28" s="85"/>
      <x:c r="AQ28" s="86" t="str">
        <x:f>IF(A28="","",IF(COUNTIF($A$7:$A$156,A28)&gt;1,"ID 중복",IF(F28="","예산 매핑 필요",IF(OR(E28="예산코드 오류",G28="예산코드 오류"),"예산코드 오류",IF(AND(Y28&lt;&gt;"",Z28=""),"구매일 필요",IF(AND(AF28&lt;&gt;"",AG28=""),"지급일 필요",IF(AND(AF28&lt;&gt;"",AN28=""),"증빙ID 필요",IF(OR(Y28&lt;0,AF28&lt;0),"금액 오류",IF(AND(Y28&lt;&gt;"",R28&lt;&gt;"",Y28&gt;R28),"계획 초과","정상")))))))))</x:f>
      </x:c>
    </x:row>
    <x:row r="29" ht="24" customHeight="1">
      <x:c r="A29" s="85"/>
      <x:c r="B29" s="85"/>
      <x:c r="C29" s="85"/>
      <x:c r="D29" s="85"/>
      <x:c r="E29" s="86" t="str">
        <x:f>IF(F29="","",IFERROR(VLOOKUP(F29,'02_승인예산'!$A$7:$S$66,2,FALSE),"예산코드 오류"))</x:f>
      </x:c>
      <x:c r="F29" s="85"/>
      <x:c r="G29" s="86" t="str">
        <x:f>IF(F29="","",IFERROR(VLOOKUP(F29,'02_승인예산'!$A$7:$S$66,4,FALSE),"예산코드 오류"))</x:f>
      </x:c>
      <x:c r="H29" s="85"/>
      <x:c r="I29" s="85"/>
      <x:c r="J29" s="85"/>
      <x:c r="K29" s="85"/>
      <x:c r="L29" s="85"/>
      <x:c r="M29" s="95"/>
      <x:c r="N29" s="92"/>
      <x:c r="O29" s="88"/>
      <x:c r="P29" s="85"/>
      <x:c r="Q29" s="89"/>
      <x:c r="R29" s="90" t="str">
        <x:f>IF(OR(O29="",Q29=""),"",O29*Q29*IF(S29="별도",1.1,1))</x:f>
      </x:c>
      <x:c r="S29" s="85"/>
      <x:c r="T29" s="89"/>
      <x:c r="U29" s="89"/>
      <x:c r="V29" s="92"/>
      <x:c r="W29" s="88"/>
      <x:c r="X29" s="89"/>
      <x:c r="Y29" s="90" t="str">
        <x:f>IF(OR(W29="",X29=""),"",W29*X29*IF(S29="별도",1.1,1))</x:f>
      </x:c>
      <x:c r="Z29" s="93"/>
      <x:c r="AA29" s="90" t="str">
        <x:f>IF(OR(R29="",Y29=""),"",R29-Y29)</x:f>
      </x:c>
      <x:c r="AB29" s="90" t="str">
        <x:f>IF($A29="","",IF($B29="취소",0,IF($C29="제외",0,IF($Y29&lt;&gt;"",$Y29,IF($U29&lt;&gt;"",$U29,IF($T29&lt;&gt;"",$T29,$R29))))))</x:f>
      </x:c>
      <x:c r="AC29" s="91"/>
      <x:c r="AD29" s="91"/>
      <x:c r="AE29" s="91"/>
      <x:c r="AF29" s="90" t="str">
        <x:f>IF(AND(AC29="",AD29="",AE29=""),"",SUM(AC29:AE29))</x:f>
      </x:c>
      <x:c r="AG29" s="94"/>
      <x:c r="AH29" s="91" t="str">
        <x:f>IF(Y29="","",Y29-IF(AF29="",0,AF29))</x:f>
      </x:c>
      <x:c r="AI29" s="87"/>
      <x:c r="AJ29" s="87"/>
      <x:c r="AK29" s="87"/>
      <x:c r="AL29" s="87"/>
      <x:c r="AM29" s="87"/>
      <x:c r="AN29" s="85"/>
      <x:c r="AO29" s="85"/>
      <x:c r="AP29" s="85"/>
      <x:c r="AQ29" s="86" t="str">
        <x:f>IF(A29="","",IF(COUNTIF($A$7:$A$156,A29)&gt;1,"ID 중복",IF(F29="","예산 매핑 필요",IF(OR(E29="예산코드 오류",G29="예산코드 오류"),"예산코드 오류",IF(AND(Y29&lt;&gt;"",Z29=""),"구매일 필요",IF(AND(AF29&lt;&gt;"",AG29=""),"지급일 필요",IF(AND(AF29&lt;&gt;"",AN29=""),"증빙ID 필요",IF(OR(Y29&lt;0,AF29&lt;0),"금액 오류",IF(AND(Y29&lt;&gt;"",R29&lt;&gt;"",Y29&gt;R29),"계획 초과","정상")))))))))</x:f>
      </x:c>
    </x:row>
    <x:row r="30" ht="24" customHeight="1">
      <x:c r="A30" s="85"/>
      <x:c r="B30" s="85"/>
      <x:c r="C30" s="85"/>
      <x:c r="D30" s="85"/>
      <x:c r="E30" s="86" t="str">
        <x:f>IF(F30="","",IFERROR(VLOOKUP(F30,'02_승인예산'!$A$7:$S$66,2,FALSE),"예산코드 오류"))</x:f>
      </x:c>
      <x:c r="F30" s="85"/>
      <x:c r="G30" s="86" t="str">
        <x:f>IF(F30="","",IFERROR(VLOOKUP(F30,'02_승인예산'!$A$7:$S$66,4,FALSE),"예산코드 오류"))</x:f>
      </x:c>
      <x:c r="H30" s="85"/>
      <x:c r="I30" s="85"/>
      <x:c r="J30" s="85"/>
      <x:c r="K30" s="85"/>
      <x:c r="L30" s="85"/>
      <x:c r="M30" s="95"/>
      <x:c r="N30" s="92"/>
      <x:c r="O30" s="88"/>
      <x:c r="P30" s="85"/>
      <x:c r="Q30" s="89"/>
      <x:c r="R30" s="90" t="str">
        <x:f>IF(OR(O30="",Q30=""),"",O30*Q30*IF(S30="별도",1.1,1))</x:f>
      </x:c>
      <x:c r="S30" s="85"/>
      <x:c r="T30" s="89"/>
      <x:c r="U30" s="89"/>
      <x:c r="V30" s="92"/>
      <x:c r="W30" s="88"/>
      <x:c r="X30" s="89"/>
      <x:c r="Y30" s="90" t="str">
        <x:f>IF(OR(W30="",X30=""),"",W30*X30*IF(S30="별도",1.1,1))</x:f>
      </x:c>
      <x:c r="Z30" s="93"/>
      <x:c r="AA30" s="90" t="str">
        <x:f>IF(OR(R30="",Y30=""),"",R30-Y30)</x:f>
      </x:c>
      <x:c r="AB30" s="90" t="str">
        <x:f>IF($A30="","",IF($B30="취소",0,IF($C30="제외",0,IF($Y30&lt;&gt;"",$Y30,IF($U30&lt;&gt;"",$U30,IF($T30&lt;&gt;"",$T30,$R30))))))</x:f>
      </x:c>
      <x:c r="AC30" s="91"/>
      <x:c r="AD30" s="91"/>
      <x:c r="AE30" s="91"/>
      <x:c r="AF30" s="90" t="str">
        <x:f>IF(AND(AC30="",AD30="",AE30=""),"",SUM(AC30:AE30))</x:f>
      </x:c>
      <x:c r="AG30" s="94"/>
      <x:c r="AH30" s="91" t="str">
        <x:f>IF(Y30="","",Y30-IF(AF30="",0,AF30))</x:f>
      </x:c>
      <x:c r="AI30" s="87"/>
      <x:c r="AJ30" s="87"/>
      <x:c r="AK30" s="87"/>
      <x:c r="AL30" s="87"/>
      <x:c r="AM30" s="87"/>
      <x:c r="AN30" s="85"/>
      <x:c r="AO30" s="85"/>
      <x:c r="AP30" s="85"/>
      <x:c r="AQ30" s="86" t="str">
        <x:f>IF(A30="","",IF(COUNTIF($A$7:$A$156,A30)&gt;1,"ID 중복",IF(F30="","예산 매핑 필요",IF(OR(E30="예산코드 오류",G30="예산코드 오류"),"예산코드 오류",IF(AND(Y30&lt;&gt;"",Z30=""),"구매일 필요",IF(AND(AF30&lt;&gt;"",AG30=""),"지급일 필요",IF(AND(AF30&lt;&gt;"",AN30=""),"증빙ID 필요",IF(OR(Y30&lt;0,AF30&lt;0),"금액 오류",IF(AND(Y30&lt;&gt;"",R30&lt;&gt;"",Y30&gt;R30),"계획 초과","정상")))))))))</x:f>
      </x:c>
    </x:row>
    <x:row r="31" ht="24" customHeight="1">
      <x:c r="A31" s="85"/>
      <x:c r="B31" s="85"/>
      <x:c r="C31" s="85"/>
      <x:c r="D31" s="85"/>
      <x:c r="E31" s="86" t="str">
        <x:f>IF(F31="","",IFERROR(VLOOKUP(F31,'02_승인예산'!$A$7:$S$66,2,FALSE),"예산코드 오류"))</x:f>
      </x:c>
      <x:c r="F31" s="85"/>
      <x:c r="G31" s="86" t="str">
        <x:f>IF(F31="","",IFERROR(VLOOKUP(F31,'02_승인예산'!$A$7:$S$66,4,FALSE),"예산코드 오류"))</x:f>
      </x:c>
      <x:c r="H31" s="85"/>
      <x:c r="I31" s="85"/>
      <x:c r="J31" s="85"/>
      <x:c r="K31" s="85"/>
      <x:c r="L31" s="85"/>
      <x:c r="M31" s="95"/>
      <x:c r="N31" s="92"/>
      <x:c r="O31" s="88"/>
      <x:c r="P31" s="85"/>
      <x:c r="Q31" s="89"/>
      <x:c r="R31" s="90" t="str">
        <x:f>IF(OR(O31="",Q31=""),"",O31*Q31*IF(S31="별도",1.1,1))</x:f>
      </x:c>
      <x:c r="S31" s="85"/>
      <x:c r="T31" s="89"/>
      <x:c r="U31" s="89"/>
      <x:c r="V31" s="92"/>
      <x:c r="W31" s="88"/>
      <x:c r="X31" s="89"/>
      <x:c r="Y31" s="90" t="str">
        <x:f>IF(OR(W31="",X31=""),"",W31*X31*IF(S31="별도",1.1,1))</x:f>
      </x:c>
      <x:c r="Z31" s="93"/>
      <x:c r="AA31" s="90" t="str">
        <x:f>IF(OR(R31="",Y31=""),"",R31-Y31)</x:f>
      </x:c>
      <x:c r="AB31" s="90" t="str">
        <x:f>IF($A31="","",IF($B31="취소",0,IF($C31="제외",0,IF($Y31&lt;&gt;"",$Y31,IF($U31&lt;&gt;"",$U31,IF($T31&lt;&gt;"",$T31,$R31))))))</x:f>
      </x:c>
      <x:c r="AC31" s="91"/>
      <x:c r="AD31" s="91"/>
      <x:c r="AE31" s="91"/>
      <x:c r="AF31" s="90" t="str">
        <x:f>IF(AND(AC31="",AD31="",AE31=""),"",SUM(AC31:AE31))</x:f>
      </x:c>
      <x:c r="AG31" s="94"/>
      <x:c r="AH31" s="91" t="str">
        <x:f>IF(Y31="","",Y31-IF(AF31="",0,AF31))</x:f>
      </x:c>
      <x:c r="AI31" s="87"/>
      <x:c r="AJ31" s="87"/>
      <x:c r="AK31" s="87"/>
      <x:c r="AL31" s="87"/>
      <x:c r="AM31" s="87"/>
      <x:c r="AN31" s="85"/>
      <x:c r="AO31" s="85"/>
      <x:c r="AP31" s="85"/>
      <x:c r="AQ31" s="86" t="str">
        <x:f>IF(A31="","",IF(COUNTIF($A$7:$A$156,A31)&gt;1,"ID 중복",IF(F31="","예산 매핑 필요",IF(OR(E31="예산코드 오류",G31="예산코드 오류"),"예산코드 오류",IF(AND(Y31&lt;&gt;"",Z31=""),"구매일 필요",IF(AND(AF31&lt;&gt;"",AG31=""),"지급일 필요",IF(AND(AF31&lt;&gt;"",AN31=""),"증빙ID 필요",IF(OR(Y31&lt;0,AF31&lt;0),"금액 오류",IF(AND(Y31&lt;&gt;"",R31&lt;&gt;"",Y31&gt;R31),"계획 초과","정상")))))))))</x:f>
      </x:c>
    </x:row>
    <x:row r="32" ht="24" customHeight="1">
      <x:c r="A32" s="85"/>
      <x:c r="B32" s="85"/>
      <x:c r="C32" s="85"/>
      <x:c r="D32" s="85"/>
      <x:c r="E32" s="86" t="str">
        <x:f>IF(F32="","",IFERROR(VLOOKUP(F32,'02_승인예산'!$A$7:$S$66,2,FALSE),"예산코드 오류"))</x:f>
      </x:c>
      <x:c r="F32" s="85"/>
      <x:c r="G32" s="86" t="str">
        <x:f>IF(F32="","",IFERROR(VLOOKUP(F32,'02_승인예산'!$A$7:$S$66,4,FALSE),"예산코드 오류"))</x:f>
      </x:c>
      <x:c r="H32" s="85"/>
      <x:c r="I32" s="85"/>
      <x:c r="J32" s="85"/>
      <x:c r="K32" s="85"/>
      <x:c r="L32" s="85"/>
      <x:c r="M32" s="95"/>
      <x:c r="N32" s="92"/>
      <x:c r="O32" s="88"/>
      <x:c r="P32" s="85"/>
      <x:c r="Q32" s="89"/>
      <x:c r="R32" s="90" t="str">
        <x:f>IF(OR(O32="",Q32=""),"",O32*Q32*IF(S32="별도",1.1,1))</x:f>
      </x:c>
      <x:c r="S32" s="85"/>
      <x:c r="T32" s="89"/>
      <x:c r="U32" s="89"/>
      <x:c r="V32" s="92"/>
      <x:c r="W32" s="88"/>
      <x:c r="X32" s="89"/>
      <x:c r="Y32" s="90" t="str">
        <x:f>IF(OR(W32="",X32=""),"",W32*X32*IF(S32="별도",1.1,1))</x:f>
      </x:c>
      <x:c r="Z32" s="93"/>
      <x:c r="AA32" s="90" t="str">
        <x:f>IF(OR(R32="",Y32=""),"",R32-Y32)</x:f>
      </x:c>
      <x:c r="AB32" s="90" t="str">
        <x:f>IF($A32="","",IF($B32="취소",0,IF($C32="제외",0,IF($Y32&lt;&gt;"",$Y32,IF($U32&lt;&gt;"",$U32,IF($T32&lt;&gt;"",$T32,$R32))))))</x:f>
      </x:c>
      <x:c r="AC32" s="91"/>
      <x:c r="AD32" s="91"/>
      <x:c r="AE32" s="91"/>
      <x:c r="AF32" s="90" t="str">
        <x:f>IF(AND(AC32="",AD32="",AE32=""),"",SUM(AC32:AE32))</x:f>
      </x:c>
      <x:c r="AG32" s="94"/>
      <x:c r="AH32" s="91" t="str">
        <x:f>IF(Y32="","",Y32-IF(AF32="",0,AF32))</x:f>
      </x:c>
      <x:c r="AI32" s="87"/>
      <x:c r="AJ32" s="87"/>
      <x:c r="AK32" s="87"/>
      <x:c r="AL32" s="87"/>
      <x:c r="AM32" s="87"/>
      <x:c r="AN32" s="85"/>
      <x:c r="AO32" s="85"/>
      <x:c r="AP32" s="85"/>
      <x:c r="AQ32" s="86" t="str">
        <x:f>IF(A32="","",IF(COUNTIF($A$7:$A$156,A32)&gt;1,"ID 중복",IF(F32="","예산 매핑 필요",IF(OR(E32="예산코드 오류",G32="예산코드 오류"),"예산코드 오류",IF(AND(Y32&lt;&gt;"",Z32=""),"구매일 필요",IF(AND(AF32&lt;&gt;"",AG32=""),"지급일 필요",IF(AND(AF32&lt;&gt;"",AN32=""),"증빙ID 필요",IF(OR(Y32&lt;0,AF32&lt;0),"금액 오류",IF(AND(Y32&lt;&gt;"",R32&lt;&gt;"",Y32&gt;R32),"계획 초과","정상")))))))))</x:f>
      </x:c>
    </x:row>
    <x:row r="33" ht="24" customHeight="1">
      <x:c r="A33" s="85"/>
      <x:c r="B33" s="85"/>
      <x:c r="C33" s="85"/>
      <x:c r="D33" s="85"/>
      <x:c r="E33" s="86" t="str">
        <x:f>IF(F33="","",IFERROR(VLOOKUP(F33,'02_승인예산'!$A$7:$S$66,2,FALSE),"예산코드 오류"))</x:f>
      </x:c>
      <x:c r="F33" s="85"/>
      <x:c r="G33" s="86" t="str">
        <x:f>IF(F33="","",IFERROR(VLOOKUP(F33,'02_승인예산'!$A$7:$S$66,4,FALSE),"예산코드 오류"))</x:f>
      </x:c>
      <x:c r="H33" s="85"/>
      <x:c r="I33" s="85"/>
      <x:c r="J33" s="85"/>
      <x:c r="K33" s="85"/>
      <x:c r="L33" s="85"/>
      <x:c r="M33" s="95"/>
      <x:c r="N33" s="92"/>
      <x:c r="O33" s="88"/>
      <x:c r="P33" s="85"/>
      <x:c r="Q33" s="89"/>
      <x:c r="R33" s="90" t="str">
        <x:f>IF(OR(O33="",Q33=""),"",O33*Q33*IF(S33="별도",1.1,1))</x:f>
      </x:c>
      <x:c r="S33" s="85"/>
      <x:c r="T33" s="89"/>
      <x:c r="U33" s="89"/>
      <x:c r="V33" s="92"/>
      <x:c r="W33" s="88"/>
      <x:c r="X33" s="89"/>
      <x:c r="Y33" s="90" t="str">
        <x:f>IF(OR(W33="",X33=""),"",W33*X33*IF(S33="별도",1.1,1))</x:f>
      </x:c>
      <x:c r="Z33" s="93"/>
      <x:c r="AA33" s="90" t="str">
        <x:f>IF(OR(R33="",Y33=""),"",R33-Y33)</x:f>
      </x:c>
      <x:c r="AB33" s="90" t="str">
        <x:f>IF($A33="","",IF($B33="취소",0,IF($C33="제외",0,IF($Y33&lt;&gt;"",$Y33,IF($U33&lt;&gt;"",$U33,IF($T33&lt;&gt;"",$T33,$R33))))))</x:f>
      </x:c>
      <x:c r="AC33" s="91"/>
      <x:c r="AD33" s="91"/>
      <x:c r="AE33" s="91"/>
      <x:c r="AF33" s="90" t="str">
        <x:f>IF(AND(AC33="",AD33="",AE33=""),"",SUM(AC33:AE33))</x:f>
      </x:c>
      <x:c r="AG33" s="94"/>
      <x:c r="AH33" s="91" t="str">
        <x:f>IF(Y33="","",Y33-IF(AF33="",0,AF33))</x:f>
      </x:c>
      <x:c r="AI33" s="87"/>
      <x:c r="AJ33" s="87"/>
      <x:c r="AK33" s="87"/>
      <x:c r="AL33" s="87"/>
      <x:c r="AM33" s="87"/>
      <x:c r="AN33" s="85"/>
      <x:c r="AO33" s="85"/>
      <x:c r="AP33" s="85"/>
      <x:c r="AQ33" s="86" t="str">
        <x:f>IF(A33="","",IF(COUNTIF($A$7:$A$156,A33)&gt;1,"ID 중복",IF(F33="","예산 매핑 필요",IF(OR(E33="예산코드 오류",G33="예산코드 오류"),"예산코드 오류",IF(AND(Y33&lt;&gt;"",Z33=""),"구매일 필요",IF(AND(AF33&lt;&gt;"",AG33=""),"지급일 필요",IF(AND(AF33&lt;&gt;"",AN33=""),"증빙ID 필요",IF(OR(Y33&lt;0,AF33&lt;0),"금액 오류",IF(AND(Y33&lt;&gt;"",R33&lt;&gt;"",Y33&gt;R33),"계획 초과","정상")))))))))</x:f>
      </x:c>
    </x:row>
    <x:row r="34" ht="24" customHeight="1">
      <x:c r="A34" s="85"/>
      <x:c r="B34" s="85"/>
      <x:c r="C34" s="85"/>
      <x:c r="D34" s="85"/>
      <x:c r="E34" s="86" t="str">
        <x:f>IF(F34="","",IFERROR(VLOOKUP(F34,'02_승인예산'!$A$7:$S$66,2,FALSE),"예산코드 오류"))</x:f>
      </x:c>
      <x:c r="F34" s="85"/>
      <x:c r="G34" s="86" t="str">
        <x:f>IF(F34="","",IFERROR(VLOOKUP(F34,'02_승인예산'!$A$7:$S$66,4,FALSE),"예산코드 오류"))</x:f>
      </x:c>
      <x:c r="H34" s="85"/>
      <x:c r="I34" s="85"/>
      <x:c r="J34" s="85"/>
      <x:c r="K34" s="85"/>
      <x:c r="L34" s="85"/>
      <x:c r="M34" s="95"/>
      <x:c r="N34" s="92"/>
      <x:c r="O34" s="88"/>
      <x:c r="P34" s="85"/>
      <x:c r="Q34" s="89"/>
      <x:c r="R34" s="90" t="str">
        <x:f>IF(OR(O34="",Q34=""),"",O34*Q34*IF(S34="별도",1.1,1))</x:f>
      </x:c>
      <x:c r="S34" s="85"/>
      <x:c r="T34" s="89"/>
      <x:c r="U34" s="89"/>
      <x:c r="V34" s="92"/>
      <x:c r="W34" s="88"/>
      <x:c r="X34" s="89"/>
      <x:c r="Y34" s="90" t="str">
        <x:f>IF(OR(W34="",X34=""),"",W34*X34*IF(S34="별도",1.1,1))</x:f>
      </x:c>
      <x:c r="Z34" s="93"/>
      <x:c r="AA34" s="90" t="str">
        <x:f>IF(OR(R34="",Y34=""),"",R34-Y34)</x:f>
      </x:c>
      <x:c r="AB34" s="90" t="str">
        <x:f>IF($A34="","",IF($B34="취소",0,IF($C34="제외",0,IF($Y34&lt;&gt;"",$Y34,IF($U34&lt;&gt;"",$U34,IF($T34&lt;&gt;"",$T34,$R34))))))</x:f>
      </x:c>
      <x:c r="AC34" s="91"/>
      <x:c r="AD34" s="91"/>
      <x:c r="AE34" s="91"/>
      <x:c r="AF34" s="90" t="str">
        <x:f>IF(AND(AC34="",AD34="",AE34=""),"",SUM(AC34:AE34))</x:f>
      </x:c>
      <x:c r="AG34" s="94"/>
      <x:c r="AH34" s="91" t="str">
        <x:f>IF(Y34="","",Y34-IF(AF34="",0,AF34))</x:f>
      </x:c>
      <x:c r="AI34" s="87"/>
      <x:c r="AJ34" s="87"/>
      <x:c r="AK34" s="87"/>
      <x:c r="AL34" s="87"/>
      <x:c r="AM34" s="87"/>
      <x:c r="AN34" s="85"/>
      <x:c r="AO34" s="85"/>
      <x:c r="AP34" s="85"/>
      <x:c r="AQ34" s="86" t="str">
        <x:f>IF(A34="","",IF(COUNTIF($A$7:$A$156,A34)&gt;1,"ID 중복",IF(F34="","예산 매핑 필요",IF(OR(E34="예산코드 오류",G34="예산코드 오류"),"예산코드 오류",IF(AND(Y34&lt;&gt;"",Z34=""),"구매일 필요",IF(AND(AF34&lt;&gt;"",AG34=""),"지급일 필요",IF(AND(AF34&lt;&gt;"",AN34=""),"증빙ID 필요",IF(OR(Y34&lt;0,AF34&lt;0),"금액 오류",IF(AND(Y34&lt;&gt;"",R34&lt;&gt;"",Y34&gt;R34),"계획 초과","정상")))))))))</x:f>
      </x:c>
    </x:row>
    <x:row r="35" ht="24" customHeight="1">
      <x:c r="A35" s="85"/>
      <x:c r="B35" s="85"/>
      <x:c r="C35" s="85"/>
      <x:c r="D35" s="85"/>
      <x:c r="E35" s="86" t="str">
        <x:f>IF(F35="","",IFERROR(VLOOKUP(F35,'02_승인예산'!$A$7:$S$66,2,FALSE),"예산코드 오류"))</x:f>
      </x:c>
      <x:c r="F35" s="85"/>
      <x:c r="G35" s="86" t="str">
        <x:f>IF(F35="","",IFERROR(VLOOKUP(F35,'02_승인예산'!$A$7:$S$66,4,FALSE),"예산코드 오류"))</x:f>
      </x:c>
      <x:c r="H35" s="85"/>
      <x:c r="I35" s="85"/>
      <x:c r="J35" s="85"/>
      <x:c r="K35" s="85"/>
      <x:c r="L35" s="85"/>
      <x:c r="M35" s="95"/>
      <x:c r="N35" s="92"/>
      <x:c r="O35" s="88"/>
      <x:c r="P35" s="85"/>
      <x:c r="Q35" s="89"/>
      <x:c r="R35" s="90" t="str">
        <x:f>IF(OR(O35="",Q35=""),"",O35*Q35*IF(S35="별도",1.1,1))</x:f>
      </x:c>
      <x:c r="S35" s="85"/>
      <x:c r="T35" s="89"/>
      <x:c r="U35" s="89"/>
      <x:c r="V35" s="92"/>
      <x:c r="W35" s="88"/>
      <x:c r="X35" s="89"/>
      <x:c r="Y35" s="90" t="str">
        <x:f>IF(OR(W35="",X35=""),"",W35*X35*IF(S35="별도",1.1,1))</x:f>
      </x:c>
      <x:c r="Z35" s="93"/>
      <x:c r="AA35" s="90" t="str">
        <x:f>IF(OR(R35="",Y35=""),"",R35-Y35)</x:f>
      </x:c>
      <x:c r="AB35" s="90" t="str">
        <x:f>IF($A35="","",IF($B35="취소",0,IF($C35="제외",0,IF($Y35&lt;&gt;"",$Y35,IF($U35&lt;&gt;"",$U35,IF($T35&lt;&gt;"",$T35,$R35))))))</x:f>
      </x:c>
      <x:c r="AC35" s="91"/>
      <x:c r="AD35" s="91"/>
      <x:c r="AE35" s="91"/>
      <x:c r="AF35" s="90" t="str">
        <x:f>IF(AND(AC35="",AD35="",AE35=""),"",SUM(AC35:AE35))</x:f>
      </x:c>
      <x:c r="AG35" s="94"/>
      <x:c r="AH35" s="91" t="str">
        <x:f>IF(Y35="","",Y35-IF(AF35="",0,AF35))</x:f>
      </x:c>
      <x:c r="AI35" s="87"/>
      <x:c r="AJ35" s="87"/>
      <x:c r="AK35" s="87"/>
      <x:c r="AL35" s="87"/>
      <x:c r="AM35" s="87"/>
      <x:c r="AN35" s="85"/>
      <x:c r="AO35" s="85"/>
      <x:c r="AP35" s="85"/>
      <x:c r="AQ35" s="86" t="str">
        <x:f>IF(A35="","",IF(COUNTIF($A$7:$A$156,A35)&gt;1,"ID 중복",IF(F35="","예산 매핑 필요",IF(OR(E35="예산코드 오류",G35="예산코드 오류"),"예산코드 오류",IF(AND(Y35&lt;&gt;"",Z35=""),"구매일 필요",IF(AND(AF35&lt;&gt;"",AG35=""),"지급일 필요",IF(AND(AF35&lt;&gt;"",AN35=""),"증빙ID 필요",IF(OR(Y35&lt;0,AF35&lt;0),"금액 오류",IF(AND(Y35&lt;&gt;"",R35&lt;&gt;"",Y35&gt;R35),"계획 초과","정상")))))))))</x:f>
      </x:c>
    </x:row>
    <x:row r="36" ht="24" customHeight="1">
      <x:c r="A36" s="85"/>
      <x:c r="B36" s="85"/>
      <x:c r="C36" s="85"/>
      <x:c r="D36" s="85"/>
      <x:c r="E36" s="86" t="str">
        <x:f>IF(F36="","",IFERROR(VLOOKUP(F36,'02_승인예산'!$A$7:$S$66,2,FALSE),"예산코드 오류"))</x:f>
      </x:c>
      <x:c r="F36" s="85"/>
      <x:c r="G36" s="86" t="str">
        <x:f>IF(F36="","",IFERROR(VLOOKUP(F36,'02_승인예산'!$A$7:$S$66,4,FALSE),"예산코드 오류"))</x:f>
      </x:c>
      <x:c r="H36" s="85"/>
      <x:c r="I36" s="85"/>
      <x:c r="J36" s="85"/>
      <x:c r="K36" s="85"/>
      <x:c r="L36" s="85"/>
      <x:c r="M36" s="95"/>
      <x:c r="N36" s="92"/>
      <x:c r="O36" s="88"/>
      <x:c r="P36" s="85"/>
      <x:c r="Q36" s="89"/>
      <x:c r="R36" s="90" t="str">
        <x:f>IF(OR(O36="",Q36=""),"",O36*Q36*IF(S36="별도",1.1,1))</x:f>
      </x:c>
      <x:c r="S36" s="85"/>
      <x:c r="T36" s="89"/>
      <x:c r="U36" s="89"/>
      <x:c r="V36" s="92"/>
      <x:c r="W36" s="88"/>
      <x:c r="X36" s="89"/>
      <x:c r="Y36" s="90" t="str">
        <x:f>IF(OR(W36="",X36=""),"",W36*X36*IF(S36="별도",1.1,1))</x:f>
      </x:c>
      <x:c r="Z36" s="93"/>
      <x:c r="AA36" s="90" t="str">
        <x:f>IF(OR(R36="",Y36=""),"",R36-Y36)</x:f>
      </x:c>
      <x:c r="AB36" s="90" t="str">
        <x:f>IF($A36="","",IF($B36="취소",0,IF($C36="제외",0,IF($Y36&lt;&gt;"",$Y36,IF($U36&lt;&gt;"",$U36,IF($T36&lt;&gt;"",$T36,$R36))))))</x:f>
      </x:c>
      <x:c r="AC36" s="91"/>
      <x:c r="AD36" s="91"/>
      <x:c r="AE36" s="91"/>
      <x:c r="AF36" s="90" t="str">
        <x:f>IF(AND(AC36="",AD36="",AE36=""),"",SUM(AC36:AE36))</x:f>
      </x:c>
      <x:c r="AG36" s="94"/>
      <x:c r="AH36" s="91" t="str">
        <x:f>IF(Y36="","",Y36-IF(AF36="",0,AF36))</x:f>
      </x:c>
      <x:c r="AI36" s="87"/>
      <x:c r="AJ36" s="87"/>
      <x:c r="AK36" s="87"/>
      <x:c r="AL36" s="87"/>
      <x:c r="AM36" s="87"/>
      <x:c r="AN36" s="85"/>
      <x:c r="AO36" s="85"/>
      <x:c r="AP36" s="85"/>
      <x:c r="AQ36" s="86" t="str">
        <x:f>IF(A36="","",IF(COUNTIF($A$7:$A$156,A36)&gt;1,"ID 중복",IF(F36="","예산 매핑 필요",IF(OR(E36="예산코드 오류",G36="예산코드 오류"),"예산코드 오류",IF(AND(Y36&lt;&gt;"",Z36=""),"구매일 필요",IF(AND(AF36&lt;&gt;"",AG36=""),"지급일 필요",IF(AND(AF36&lt;&gt;"",AN36=""),"증빙ID 필요",IF(OR(Y36&lt;0,AF36&lt;0),"금액 오류",IF(AND(Y36&lt;&gt;"",R36&lt;&gt;"",Y36&gt;R36),"계획 초과","정상")))))))))</x:f>
      </x:c>
    </x:row>
    <x:row r="37" ht="24" customHeight="1">
      <x:c r="A37" s="85"/>
      <x:c r="B37" s="85"/>
      <x:c r="C37" s="85"/>
      <x:c r="D37" s="85"/>
      <x:c r="E37" s="86" t="str">
        <x:f>IF(F37="","",IFERROR(VLOOKUP(F37,'02_승인예산'!$A$7:$S$66,2,FALSE),"예산코드 오류"))</x:f>
      </x:c>
      <x:c r="F37" s="85"/>
      <x:c r="G37" s="86" t="str">
        <x:f>IF(F37="","",IFERROR(VLOOKUP(F37,'02_승인예산'!$A$7:$S$66,4,FALSE),"예산코드 오류"))</x:f>
      </x:c>
      <x:c r="H37" s="85"/>
      <x:c r="I37" s="85"/>
      <x:c r="J37" s="85"/>
      <x:c r="K37" s="85"/>
      <x:c r="L37" s="85"/>
      <x:c r="M37" s="95"/>
      <x:c r="N37" s="92"/>
      <x:c r="O37" s="88"/>
      <x:c r="P37" s="85"/>
      <x:c r="Q37" s="89"/>
      <x:c r="R37" s="90" t="str">
        <x:f>IF(OR(O37="",Q37=""),"",O37*Q37*IF(S37="별도",1.1,1))</x:f>
      </x:c>
      <x:c r="S37" s="85"/>
      <x:c r="T37" s="89"/>
      <x:c r="U37" s="89"/>
      <x:c r="V37" s="92"/>
      <x:c r="W37" s="88"/>
      <x:c r="X37" s="89"/>
      <x:c r="Y37" s="90" t="str">
        <x:f>IF(OR(W37="",X37=""),"",W37*X37*IF(S37="별도",1.1,1))</x:f>
      </x:c>
      <x:c r="Z37" s="93"/>
      <x:c r="AA37" s="90" t="str">
        <x:f>IF(OR(R37="",Y37=""),"",R37-Y37)</x:f>
      </x:c>
      <x:c r="AB37" s="90" t="str">
        <x:f>IF($A37="","",IF($B37="취소",0,IF($C37="제외",0,IF($Y37&lt;&gt;"",$Y37,IF($U37&lt;&gt;"",$U37,IF($T37&lt;&gt;"",$T37,$R37))))))</x:f>
      </x:c>
      <x:c r="AC37" s="91"/>
      <x:c r="AD37" s="91"/>
      <x:c r="AE37" s="91"/>
      <x:c r="AF37" s="90" t="str">
        <x:f>IF(AND(AC37="",AD37="",AE37=""),"",SUM(AC37:AE37))</x:f>
      </x:c>
      <x:c r="AG37" s="94"/>
      <x:c r="AH37" s="91" t="str">
        <x:f>IF(Y37="","",Y37-IF(AF37="",0,AF37))</x:f>
      </x:c>
      <x:c r="AI37" s="87"/>
      <x:c r="AJ37" s="87"/>
      <x:c r="AK37" s="87"/>
      <x:c r="AL37" s="87"/>
      <x:c r="AM37" s="87"/>
      <x:c r="AN37" s="85"/>
      <x:c r="AO37" s="85"/>
      <x:c r="AP37" s="85"/>
      <x:c r="AQ37" s="86" t="str">
        <x:f>IF(A37="","",IF(COUNTIF($A$7:$A$156,A37)&gt;1,"ID 중복",IF(F37="","예산 매핑 필요",IF(OR(E37="예산코드 오류",G37="예산코드 오류"),"예산코드 오류",IF(AND(Y37&lt;&gt;"",Z37=""),"구매일 필요",IF(AND(AF37&lt;&gt;"",AG37=""),"지급일 필요",IF(AND(AF37&lt;&gt;"",AN37=""),"증빙ID 필요",IF(OR(Y37&lt;0,AF37&lt;0),"금액 오류",IF(AND(Y37&lt;&gt;"",R37&lt;&gt;"",Y37&gt;R37),"계획 초과","정상")))))))))</x:f>
      </x:c>
    </x:row>
    <x:row r="38" ht="24" customHeight="1">
      <x:c r="A38" s="85"/>
      <x:c r="B38" s="85"/>
      <x:c r="C38" s="85"/>
      <x:c r="D38" s="85"/>
      <x:c r="E38" s="86" t="str">
        <x:f>IF(F38="","",IFERROR(VLOOKUP(F38,'02_승인예산'!$A$7:$S$66,2,FALSE),"예산코드 오류"))</x:f>
      </x:c>
      <x:c r="F38" s="85"/>
      <x:c r="G38" s="86" t="str">
        <x:f>IF(F38="","",IFERROR(VLOOKUP(F38,'02_승인예산'!$A$7:$S$66,4,FALSE),"예산코드 오류"))</x:f>
      </x:c>
      <x:c r="H38" s="85"/>
      <x:c r="I38" s="85"/>
      <x:c r="J38" s="85"/>
      <x:c r="K38" s="85"/>
      <x:c r="L38" s="85"/>
      <x:c r="M38" s="95"/>
      <x:c r="N38" s="92"/>
      <x:c r="O38" s="88"/>
      <x:c r="P38" s="85"/>
      <x:c r="Q38" s="89"/>
      <x:c r="R38" s="90" t="str">
        <x:f>IF(OR(O38="",Q38=""),"",O38*Q38*IF(S38="별도",1.1,1))</x:f>
      </x:c>
      <x:c r="S38" s="85"/>
      <x:c r="T38" s="89"/>
      <x:c r="U38" s="89"/>
      <x:c r="V38" s="92"/>
      <x:c r="W38" s="88"/>
      <x:c r="X38" s="89"/>
      <x:c r="Y38" s="90" t="str">
        <x:f>IF(OR(W38="",X38=""),"",W38*X38*IF(S38="별도",1.1,1))</x:f>
      </x:c>
      <x:c r="Z38" s="93"/>
      <x:c r="AA38" s="90" t="str">
        <x:f>IF(OR(R38="",Y38=""),"",R38-Y38)</x:f>
      </x:c>
      <x:c r="AB38" s="90" t="str">
        <x:f>IF($A38="","",IF($B38="취소",0,IF($C38="제외",0,IF($Y38&lt;&gt;"",$Y38,IF($U38&lt;&gt;"",$U38,IF($T38&lt;&gt;"",$T38,$R38))))))</x:f>
      </x:c>
      <x:c r="AC38" s="91"/>
      <x:c r="AD38" s="91"/>
      <x:c r="AE38" s="91"/>
      <x:c r="AF38" s="90" t="str">
        <x:f>IF(AND(AC38="",AD38="",AE38=""),"",SUM(AC38:AE38))</x:f>
      </x:c>
      <x:c r="AG38" s="94"/>
      <x:c r="AH38" s="91" t="str">
        <x:f>IF(Y38="","",Y38-IF(AF38="",0,AF38))</x:f>
      </x:c>
      <x:c r="AI38" s="87"/>
      <x:c r="AJ38" s="87"/>
      <x:c r="AK38" s="87"/>
      <x:c r="AL38" s="87"/>
      <x:c r="AM38" s="87"/>
      <x:c r="AN38" s="85"/>
      <x:c r="AO38" s="85"/>
      <x:c r="AP38" s="85"/>
      <x:c r="AQ38" s="86" t="str">
        <x:f>IF(A38="","",IF(COUNTIF($A$7:$A$156,A38)&gt;1,"ID 중복",IF(F38="","예산 매핑 필요",IF(OR(E38="예산코드 오류",G38="예산코드 오류"),"예산코드 오류",IF(AND(Y38&lt;&gt;"",Z38=""),"구매일 필요",IF(AND(AF38&lt;&gt;"",AG38=""),"지급일 필요",IF(AND(AF38&lt;&gt;"",AN38=""),"증빙ID 필요",IF(OR(Y38&lt;0,AF38&lt;0),"금액 오류",IF(AND(Y38&lt;&gt;"",R38&lt;&gt;"",Y38&gt;R38),"계획 초과","정상")))))))))</x:f>
      </x:c>
    </x:row>
    <x:row r="39" ht="24" customHeight="1">
      <x:c r="A39" s="85"/>
      <x:c r="B39" s="85"/>
      <x:c r="C39" s="85"/>
      <x:c r="D39" s="85"/>
      <x:c r="E39" s="86" t="str">
        <x:f>IF(F39="","",IFERROR(VLOOKUP(F39,'02_승인예산'!$A$7:$S$66,2,FALSE),"예산코드 오류"))</x:f>
      </x:c>
      <x:c r="F39" s="85"/>
      <x:c r="G39" s="86" t="str">
        <x:f>IF(F39="","",IFERROR(VLOOKUP(F39,'02_승인예산'!$A$7:$S$66,4,FALSE),"예산코드 오류"))</x:f>
      </x:c>
      <x:c r="H39" s="85"/>
      <x:c r="I39" s="85"/>
      <x:c r="J39" s="85"/>
      <x:c r="K39" s="85"/>
      <x:c r="L39" s="85"/>
      <x:c r="M39" s="95"/>
      <x:c r="N39" s="92"/>
      <x:c r="O39" s="88"/>
      <x:c r="P39" s="85"/>
      <x:c r="Q39" s="89"/>
      <x:c r="R39" s="90" t="str">
        <x:f>IF(OR(O39="",Q39=""),"",O39*Q39*IF(S39="별도",1.1,1))</x:f>
      </x:c>
      <x:c r="S39" s="85"/>
      <x:c r="T39" s="89"/>
      <x:c r="U39" s="89"/>
      <x:c r="V39" s="92"/>
      <x:c r="W39" s="88"/>
      <x:c r="X39" s="89"/>
      <x:c r="Y39" s="90" t="str">
        <x:f>IF(OR(W39="",X39=""),"",W39*X39*IF(S39="별도",1.1,1))</x:f>
      </x:c>
      <x:c r="Z39" s="93"/>
      <x:c r="AA39" s="90" t="str">
        <x:f>IF(OR(R39="",Y39=""),"",R39-Y39)</x:f>
      </x:c>
      <x:c r="AB39" s="90" t="str">
        <x:f>IF($A39="","",IF($B39="취소",0,IF($C39="제외",0,IF($Y39&lt;&gt;"",$Y39,IF($U39&lt;&gt;"",$U39,IF($T39&lt;&gt;"",$T39,$R39))))))</x:f>
      </x:c>
      <x:c r="AC39" s="91"/>
      <x:c r="AD39" s="91"/>
      <x:c r="AE39" s="91"/>
      <x:c r="AF39" s="90" t="str">
        <x:f>IF(AND(AC39="",AD39="",AE39=""),"",SUM(AC39:AE39))</x:f>
      </x:c>
      <x:c r="AG39" s="94"/>
      <x:c r="AH39" s="91" t="str">
        <x:f>IF(Y39="","",Y39-IF(AF39="",0,AF39))</x:f>
      </x:c>
      <x:c r="AI39" s="87"/>
      <x:c r="AJ39" s="87"/>
      <x:c r="AK39" s="87"/>
      <x:c r="AL39" s="87"/>
      <x:c r="AM39" s="87"/>
      <x:c r="AN39" s="85"/>
      <x:c r="AO39" s="85"/>
      <x:c r="AP39" s="85"/>
      <x:c r="AQ39" s="86" t="str">
        <x:f>IF(A39="","",IF(COUNTIF($A$7:$A$156,A39)&gt;1,"ID 중복",IF(F39="","예산 매핑 필요",IF(OR(E39="예산코드 오류",G39="예산코드 오류"),"예산코드 오류",IF(AND(Y39&lt;&gt;"",Z39=""),"구매일 필요",IF(AND(AF39&lt;&gt;"",AG39=""),"지급일 필요",IF(AND(AF39&lt;&gt;"",AN39=""),"증빙ID 필요",IF(OR(Y39&lt;0,AF39&lt;0),"금액 오류",IF(AND(Y39&lt;&gt;"",R39&lt;&gt;"",Y39&gt;R39),"계획 초과","정상")))))))))</x:f>
      </x:c>
    </x:row>
    <x:row r="40" ht="24" customHeight="1">
      <x:c r="A40" s="85"/>
      <x:c r="B40" s="85"/>
      <x:c r="C40" s="85"/>
      <x:c r="D40" s="85"/>
      <x:c r="E40" s="86" t="str">
        <x:f>IF(F40="","",IFERROR(VLOOKUP(F40,'02_승인예산'!$A$7:$S$66,2,FALSE),"예산코드 오류"))</x:f>
      </x:c>
      <x:c r="F40" s="85"/>
      <x:c r="G40" s="86" t="str">
        <x:f>IF(F40="","",IFERROR(VLOOKUP(F40,'02_승인예산'!$A$7:$S$66,4,FALSE),"예산코드 오류"))</x:f>
      </x:c>
      <x:c r="H40" s="85"/>
      <x:c r="I40" s="85"/>
      <x:c r="J40" s="85"/>
      <x:c r="K40" s="85"/>
      <x:c r="L40" s="85"/>
      <x:c r="M40" s="95"/>
      <x:c r="N40" s="92"/>
      <x:c r="O40" s="88"/>
      <x:c r="P40" s="85"/>
      <x:c r="Q40" s="89"/>
      <x:c r="R40" s="90" t="str">
        <x:f>IF(OR(O40="",Q40=""),"",O40*Q40*IF(S40="별도",1.1,1))</x:f>
      </x:c>
      <x:c r="S40" s="85"/>
      <x:c r="T40" s="89"/>
      <x:c r="U40" s="89"/>
      <x:c r="V40" s="92"/>
      <x:c r="W40" s="88"/>
      <x:c r="X40" s="89"/>
      <x:c r="Y40" s="90" t="str">
        <x:f>IF(OR(W40="",X40=""),"",W40*X40*IF(S40="별도",1.1,1))</x:f>
      </x:c>
      <x:c r="Z40" s="93"/>
      <x:c r="AA40" s="90" t="str">
        <x:f>IF(OR(R40="",Y40=""),"",R40-Y40)</x:f>
      </x:c>
      <x:c r="AB40" s="90" t="str">
        <x:f>IF($A40="","",IF($B40="취소",0,IF($C40="제외",0,IF($Y40&lt;&gt;"",$Y40,IF($U40&lt;&gt;"",$U40,IF($T40&lt;&gt;"",$T40,$R40))))))</x:f>
      </x:c>
      <x:c r="AC40" s="91"/>
      <x:c r="AD40" s="91"/>
      <x:c r="AE40" s="91"/>
      <x:c r="AF40" s="90" t="str">
        <x:f>IF(AND(AC40="",AD40="",AE40=""),"",SUM(AC40:AE40))</x:f>
      </x:c>
      <x:c r="AG40" s="94"/>
      <x:c r="AH40" s="91" t="str">
        <x:f>IF(Y40="","",Y40-IF(AF40="",0,AF40))</x:f>
      </x:c>
      <x:c r="AI40" s="87"/>
      <x:c r="AJ40" s="87"/>
      <x:c r="AK40" s="87"/>
      <x:c r="AL40" s="87"/>
      <x:c r="AM40" s="87"/>
      <x:c r="AN40" s="85"/>
      <x:c r="AO40" s="85"/>
      <x:c r="AP40" s="85"/>
      <x:c r="AQ40" s="86" t="str">
        <x:f>IF(A40="","",IF(COUNTIF($A$7:$A$156,A40)&gt;1,"ID 중복",IF(F40="","예산 매핑 필요",IF(OR(E40="예산코드 오류",G40="예산코드 오류"),"예산코드 오류",IF(AND(Y40&lt;&gt;"",Z40=""),"구매일 필요",IF(AND(AF40&lt;&gt;"",AG40=""),"지급일 필요",IF(AND(AF40&lt;&gt;"",AN40=""),"증빙ID 필요",IF(OR(Y40&lt;0,AF40&lt;0),"금액 오류",IF(AND(Y40&lt;&gt;"",R40&lt;&gt;"",Y40&gt;R40),"계획 초과","정상")))))))))</x:f>
      </x:c>
    </x:row>
    <x:row r="41" ht="24" customHeight="1">
      <x:c r="A41" s="85"/>
      <x:c r="B41" s="85"/>
      <x:c r="C41" s="85"/>
      <x:c r="D41" s="85"/>
      <x:c r="E41" s="86" t="str">
        <x:f>IF(F41="","",IFERROR(VLOOKUP(F41,'02_승인예산'!$A$7:$S$66,2,FALSE),"예산코드 오류"))</x:f>
      </x:c>
      <x:c r="F41" s="85"/>
      <x:c r="G41" s="86" t="str">
        <x:f>IF(F41="","",IFERROR(VLOOKUP(F41,'02_승인예산'!$A$7:$S$66,4,FALSE),"예산코드 오류"))</x:f>
      </x:c>
      <x:c r="H41" s="85"/>
      <x:c r="I41" s="85"/>
      <x:c r="J41" s="85"/>
      <x:c r="K41" s="85"/>
      <x:c r="L41" s="85"/>
      <x:c r="M41" s="95"/>
      <x:c r="N41" s="92"/>
      <x:c r="O41" s="88"/>
      <x:c r="P41" s="85"/>
      <x:c r="Q41" s="89"/>
      <x:c r="R41" s="90" t="str">
        <x:f>IF(OR(O41="",Q41=""),"",O41*Q41*IF(S41="별도",1.1,1))</x:f>
      </x:c>
      <x:c r="S41" s="85"/>
      <x:c r="T41" s="89"/>
      <x:c r="U41" s="89"/>
      <x:c r="V41" s="92"/>
      <x:c r="W41" s="88"/>
      <x:c r="X41" s="89"/>
      <x:c r="Y41" s="90" t="str">
        <x:f>IF(OR(W41="",X41=""),"",W41*X41*IF(S41="별도",1.1,1))</x:f>
      </x:c>
      <x:c r="Z41" s="93"/>
      <x:c r="AA41" s="90" t="str">
        <x:f>IF(OR(R41="",Y41=""),"",R41-Y41)</x:f>
      </x:c>
      <x:c r="AB41" s="90" t="str">
        <x:f>IF($A41="","",IF($B41="취소",0,IF($C41="제외",0,IF($Y41&lt;&gt;"",$Y41,IF($U41&lt;&gt;"",$U41,IF($T41&lt;&gt;"",$T41,$R41))))))</x:f>
      </x:c>
      <x:c r="AC41" s="91"/>
      <x:c r="AD41" s="91"/>
      <x:c r="AE41" s="91"/>
      <x:c r="AF41" s="90" t="str">
        <x:f>IF(AND(AC41="",AD41="",AE41=""),"",SUM(AC41:AE41))</x:f>
      </x:c>
      <x:c r="AG41" s="94"/>
      <x:c r="AH41" s="91" t="str">
        <x:f>IF(Y41="","",Y41-IF(AF41="",0,AF41))</x:f>
      </x:c>
      <x:c r="AI41" s="87"/>
      <x:c r="AJ41" s="87"/>
      <x:c r="AK41" s="87"/>
      <x:c r="AL41" s="87"/>
      <x:c r="AM41" s="87"/>
      <x:c r="AN41" s="85"/>
      <x:c r="AO41" s="85"/>
      <x:c r="AP41" s="85"/>
      <x:c r="AQ41" s="86" t="str">
        <x:f>IF(A41="","",IF(COUNTIF($A$7:$A$156,A41)&gt;1,"ID 중복",IF(F41="","예산 매핑 필요",IF(OR(E41="예산코드 오류",G41="예산코드 오류"),"예산코드 오류",IF(AND(Y41&lt;&gt;"",Z41=""),"구매일 필요",IF(AND(AF41&lt;&gt;"",AG41=""),"지급일 필요",IF(AND(AF41&lt;&gt;"",AN41=""),"증빙ID 필요",IF(OR(Y41&lt;0,AF41&lt;0),"금액 오류",IF(AND(Y41&lt;&gt;"",R41&lt;&gt;"",Y41&gt;R41),"계획 초과","정상")))))))))</x:f>
      </x:c>
    </x:row>
    <x:row r="42" ht="24" customHeight="1">
      <x:c r="A42" s="85"/>
      <x:c r="B42" s="85"/>
      <x:c r="C42" s="85"/>
      <x:c r="D42" s="85"/>
      <x:c r="E42" s="86" t="str">
        <x:f>IF(F42="","",IFERROR(VLOOKUP(F42,'02_승인예산'!$A$7:$S$66,2,FALSE),"예산코드 오류"))</x:f>
      </x:c>
      <x:c r="F42" s="85"/>
      <x:c r="G42" s="86" t="str">
        <x:f>IF(F42="","",IFERROR(VLOOKUP(F42,'02_승인예산'!$A$7:$S$66,4,FALSE),"예산코드 오류"))</x:f>
      </x:c>
      <x:c r="H42" s="85"/>
      <x:c r="I42" s="85"/>
      <x:c r="J42" s="85"/>
      <x:c r="K42" s="85"/>
      <x:c r="L42" s="85"/>
      <x:c r="M42" s="95"/>
      <x:c r="N42" s="92"/>
      <x:c r="O42" s="88"/>
      <x:c r="P42" s="85"/>
      <x:c r="Q42" s="89"/>
      <x:c r="R42" s="90" t="str">
        <x:f>IF(OR(O42="",Q42=""),"",O42*Q42*IF(S42="별도",1.1,1))</x:f>
      </x:c>
      <x:c r="S42" s="85"/>
      <x:c r="T42" s="89"/>
      <x:c r="U42" s="89"/>
      <x:c r="V42" s="92"/>
      <x:c r="W42" s="88"/>
      <x:c r="X42" s="89"/>
      <x:c r="Y42" s="90" t="str">
        <x:f>IF(OR(W42="",X42=""),"",W42*X42*IF(S42="별도",1.1,1))</x:f>
      </x:c>
      <x:c r="Z42" s="93"/>
      <x:c r="AA42" s="90" t="str">
        <x:f>IF(OR(R42="",Y42=""),"",R42-Y42)</x:f>
      </x:c>
      <x:c r="AB42" s="90" t="str">
        <x:f>IF($A42="","",IF($B42="취소",0,IF($C42="제외",0,IF($Y42&lt;&gt;"",$Y42,IF($U42&lt;&gt;"",$U42,IF($T42&lt;&gt;"",$T42,$R42))))))</x:f>
      </x:c>
      <x:c r="AC42" s="91"/>
      <x:c r="AD42" s="91"/>
      <x:c r="AE42" s="91"/>
      <x:c r="AF42" s="90" t="str">
        <x:f>IF(AND(AC42="",AD42="",AE42=""),"",SUM(AC42:AE42))</x:f>
      </x:c>
      <x:c r="AG42" s="94"/>
      <x:c r="AH42" s="91" t="str">
        <x:f>IF(Y42="","",Y42-IF(AF42="",0,AF42))</x:f>
      </x:c>
      <x:c r="AI42" s="87"/>
      <x:c r="AJ42" s="87"/>
      <x:c r="AK42" s="87"/>
      <x:c r="AL42" s="87"/>
      <x:c r="AM42" s="87"/>
      <x:c r="AN42" s="85"/>
      <x:c r="AO42" s="85"/>
      <x:c r="AP42" s="85"/>
      <x:c r="AQ42" s="86" t="str">
        <x:f>IF(A42="","",IF(COUNTIF($A$7:$A$156,A42)&gt;1,"ID 중복",IF(F42="","예산 매핑 필요",IF(OR(E42="예산코드 오류",G42="예산코드 오류"),"예산코드 오류",IF(AND(Y42&lt;&gt;"",Z42=""),"구매일 필요",IF(AND(AF42&lt;&gt;"",AG42=""),"지급일 필요",IF(AND(AF42&lt;&gt;"",AN42=""),"증빙ID 필요",IF(OR(Y42&lt;0,AF42&lt;0),"금액 오류",IF(AND(Y42&lt;&gt;"",R42&lt;&gt;"",Y42&gt;R42),"계획 초과","정상")))))))))</x:f>
      </x:c>
    </x:row>
    <x:row r="43" ht="24" customHeight="1">
      <x:c r="A43" s="85"/>
      <x:c r="B43" s="85"/>
      <x:c r="C43" s="85"/>
      <x:c r="D43" s="85"/>
      <x:c r="E43" s="86" t="str">
        <x:f>IF(F43="","",IFERROR(VLOOKUP(F43,'02_승인예산'!$A$7:$S$66,2,FALSE),"예산코드 오류"))</x:f>
      </x:c>
      <x:c r="F43" s="85"/>
      <x:c r="G43" s="86" t="str">
        <x:f>IF(F43="","",IFERROR(VLOOKUP(F43,'02_승인예산'!$A$7:$S$66,4,FALSE),"예산코드 오류"))</x:f>
      </x:c>
      <x:c r="H43" s="85"/>
      <x:c r="I43" s="85"/>
      <x:c r="J43" s="85"/>
      <x:c r="K43" s="85"/>
      <x:c r="L43" s="85"/>
      <x:c r="M43" s="95"/>
      <x:c r="N43" s="92"/>
      <x:c r="O43" s="88"/>
      <x:c r="P43" s="85"/>
      <x:c r="Q43" s="89"/>
      <x:c r="R43" s="90" t="str">
        <x:f>IF(OR(O43="",Q43=""),"",O43*Q43*IF(S43="별도",1.1,1))</x:f>
      </x:c>
      <x:c r="S43" s="85"/>
      <x:c r="T43" s="89"/>
      <x:c r="U43" s="89"/>
      <x:c r="V43" s="92"/>
      <x:c r="W43" s="88"/>
      <x:c r="X43" s="89"/>
      <x:c r="Y43" s="90" t="str">
        <x:f>IF(OR(W43="",X43=""),"",W43*X43*IF(S43="별도",1.1,1))</x:f>
      </x:c>
      <x:c r="Z43" s="93"/>
      <x:c r="AA43" s="90" t="str">
        <x:f>IF(OR(R43="",Y43=""),"",R43-Y43)</x:f>
      </x:c>
      <x:c r="AB43" s="90" t="str">
        <x:f>IF($A43="","",IF($B43="취소",0,IF($C43="제외",0,IF($Y43&lt;&gt;"",$Y43,IF($U43&lt;&gt;"",$U43,IF($T43&lt;&gt;"",$T43,$R43))))))</x:f>
      </x:c>
      <x:c r="AC43" s="91"/>
      <x:c r="AD43" s="91"/>
      <x:c r="AE43" s="91"/>
      <x:c r="AF43" s="90" t="str">
        <x:f>IF(AND(AC43="",AD43="",AE43=""),"",SUM(AC43:AE43))</x:f>
      </x:c>
      <x:c r="AG43" s="94"/>
      <x:c r="AH43" s="91" t="str">
        <x:f>IF(Y43="","",Y43-IF(AF43="",0,AF43))</x:f>
      </x:c>
      <x:c r="AI43" s="87"/>
      <x:c r="AJ43" s="87"/>
      <x:c r="AK43" s="87"/>
      <x:c r="AL43" s="87"/>
      <x:c r="AM43" s="87"/>
      <x:c r="AN43" s="85"/>
      <x:c r="AO43" s="85"/>
      <x:c r="AP43" s="85"/>
      <x:c r="AQ43" s="86" t="str">
        <x:f>IF(A43="","",IF(COUNTIF($A$7:$A$156,A43)&gt;1,"ID 중복",IF(F43="","예산 매핑 필요",IF(OR(E43="예산코드 오류",G43="예산코드 오류"),"예산코드 오류",IF(AND(Y43&lt;&gt;"",Z43=""),"구매일 필요",IF(AND(AF43&lt;&gt;"",AG43=""),"지급일 필요",IF(AND(AF43&lt;&gt;"",AN43=""),"증빙ID 필요",IF(OR(Y43&lt;0,AF43&lt;0),"금액 오류",IF(AND(Y43&lt;&gt;"",R43&lt;&gt;"",Y43&gt;R43),"계획 초과","정상")))))))))</x:f>
      </x:c>
    </x:row>
    <x:row r="44" ht="24" customHeight="1">
      <x:c r="A44" s="85"/>
      <x:c r="B44" s="85"/>
      <x:c r="C44" s="85"/>
      <x:c r="D44" s="85"/>
      <x:c r="E44" s="86" t="str">
        <x:f>IF(F44="","",IFERROR(VLOOKUP(F44,'02_승인예산'!$A$7:$S$66,2,FALSE),"예산코드 오류"))</x:f>
      </x:c>
      <x:c r="F44" s="85"/>
      <x:c r="G44" s="86" t="str">
        <x:f>IF(F44="","",IFERROR(VLOOKUP(F44,'02_승인예산'!$A$7:$S$66,4,FALSE),"예산코드 오류"))</x:f>
      </x:c>
      <x:c r="H44" s="85"/>
      <x:c r="I44" s="85"/>
      <x:c r="J44" s="85"/>
      <x:c r="K44" s="85"/>
      <x:c r="L44" s="85"/>
      <x:c r="M44" s="95"/>
      <x:c r="N44" s="92"/>
      <x:c r="O44" s="88"/>
      <x:c r="P44" s="85"/>
      <x:c r="Q44" s="89"/>
      <x:c r="R44" s="90" t="str">
        <x:f>IF(OR(O44="",Q44=""),"",O44*Q44*IF(S44="별도",1.1,1))</x:f>
      </x:c>
      <x:c r="S44" s="85"/>
      <x:c r="T44" s="89"/>
      <x:c r="U44" s="89"/>
      <x:c r="V44" s="92"/>
      <x:c r="W44" s="88"/>
      <x:c r="X44" s="89"/>
      <x:c r="Y44" s="90" t="str">
        <x:f>IF(OR(W44="",X44=""),"",W44*X44*IF(S44="별도",1.1,1))</x:f>
      </x:c>
      <x:c r="Z44" s="93"/>
      <x:c r="AA44" s="90" t="str">
        <x:f>IF(OR(R44="",Y44=""),"",R44-Y44)</x:f>
      </x:c>
      <x:c r="AB44" s="90" t="str">
        <x:f>IF($A44="","",IF($B44="취소",0,IF($C44="제외",0,IF($Y44&lt;&gt;"",$Y44,IF($U44&lt;&gt;"",$U44,IF($T44&lt;&gt;"",$T44,$R44))))))</x:f>
      </x:c>
      <x:c r="AC44" s="91"/>
      <x:c r="AD44" s="91"/>
      <x:c r="AE44" s="91"/>
      <x:c r="AF44" s="90" t="str">
        <x:f>IF(AND(AC44="",AD44="",AE44=""),"",SUM(AC44:AE44))</x:f>
      </x:c>
      <x:c r="AG44" s="94"/>
      <x:c r="AH44" s="91" t="str">
        <x:f>IF(Y44="","",Y44-IF(AF44="",0,AF44))</x:f>
      </x:c>
      <x:c r="AI44" s="87"/>
      <x:c r="AJ44" s="87"/>
      <x:c r="AK44" s="87"/>
      <x:c r="AL44" s="87"/>
      <x:c r="AM44" s="87"/>
      <x:c r="AN44" s="85"/>
      <x:c r="AO44" s="85"/>
      <x:c r="AP44" s="85"/>
      <x:c r="AQ44" s="86" t="str">
        <x:f>IF(A44="","",IF(COUNTIF($A$7:$A$156,A44)&gt;1,"ID 중복",IF(F44="","예산 매핑 필요",IF(OR(E44="예산코드 오류",G44="예산코드 오류"),"예산코드 오류",IF(AND(Y44&lt;&gt;"",Z44=""),"구매일 필요",IF(AND(AF44&lt;&gt;"",AG44=""),"지급일 필요",IF(AND(AF44&lt;&gt;"",AN44=""),"증빙ID 필요",IF(OR(Y44&lt;0,AF44&lt;0),"금액 오류",IF(AND(Y44&lt;&gt;"",R44&lt;&gt;"",Y44&gt;R44),"계획 초과","정상")))))))))</x:f>
      </x:c>
    </x:row>
    <x:row r="45" ht="24" customHeight="1">
      <x:c r="A45" s="85"/>
      <x:c r="B45" s="85"/>
      <x:c r="C45" s="85"/>
      <x:c r="D45" s="85"/>
      <x:c r="E45" s="86" t="str">
        <x:f>IF(F45="","",IFERROR(VLOOKUP(F45,'02_승인예산'!$A$7:$S$66,2,FALSE),"예산코드 오류"))</x:f>
      </x:c>
      <x:c r="F45" s="85"/>
      <x:c r="G45" s="86" t="str">
        <x:f>IF(F45="","",IFERROR(VLOOKUP(F45,'02_승인예산'!$A$7:$S$66,4,FALSE),"예산코드 오류"))</x:f>
      </x:c>
      <x:c r="H45" s="85"/>
      <x:c r="I45" s="85"/>
      <x:c r="J45" s="85"/>
      <x:c r="K45" s="85"/>
      <x:c r="L45" s="85"/>
      <x:c r="M45" s="95"/>
      <x:c r="N45" s="92"/>
      <x:c r="O45" s="88"/>
      <x:c r="P45" s="85"/>
      <x:c r="Q45" s="89"/>
      <x:c r="R45" s="90" t="str">
        <x:f>IF(OR(O45="",Q45=""),"",O45*Q45*IF(S45="별도",1.1,1))</x:f>
      </x:c>
      <x:c r="S45" s="85"/>
      <x:c r="T45" s="89"/>
      <x:c r="U45" s="89"/>
      <x:c r="V45" s="92"/>
      <x:c r="W45" s="88"/>
      <x:c r="X45" s="89"/>
      <x:c r="Y45" s="90" t="str">
        <x:f>IF(OR(W45="",X45=""),"",W45*X45*IF(S45="별도",1.1,1))</x:f>
      </x:c>
      <x:c r="Z45" s="93"/>
      <x:c r="AA45" s="90" t="str">
        <x:f>IF(OR(R45="",Y45=""),"",R45-Y45)</x:f>
      </x:c>
      <x:c r="AB45" s="90" t="str">
        <x:f>IF($A45="","",IF($B45="취소",0,IF($C45="제외",0,IF($Y45&lt;&gt;"",$Y45,IF($U45&lt;&gt;"",$U45,IF($T45&lt;&gt;"",$T45,$R45))))))</x:f>
      </x:c>
      <x:c r="AC45" s="91"/>
      <x:c r="AD45" s="91"/>
      <x:c r="AE45" s="91"/>
      <x:c r="AF45" s="90" t="str">
        <x:f>IF(AND(AC45="",AD45="",AE45=""),"",SUM(AC45:AE45))</x:f>
      </x:c>
      <x:c r="AG45" s="94"/>
      <x:c r="AH45" s="91" t="str">
        <x:f>IF(Y45="","",Y45-IF(AF45="",0,AF45))</x:f>
      </x:c>
      <x:c r="AI45" s="87"/>
      <x:c r="AJ45" s="87"/>
      <x:c r="AK45" s="87"/>
      <x:c r="AL45" s="87"/>
      <x:c r="AM45" s="87"/>
      <x:c r="AN45" s="85"/>
      <x:c r="AO45" s="85"/>
      <x:c r="AP45" s="85"/>
      <x:c r="AQ45" s="86" t="str">
        <x:f>IF(A45="","",IF(COUNTIF($A$7:$A$156,A45)&gt;1,"ID 중복",IF(F45="","예산 매핑 필요",IF(OR(E45="예산코드 오류",G45="예산코드 오류"),"예산코드 오류",IF(AND(Y45&lt;&gt;"",Z45=""),"구매일 필요",IF(AND(AF45&lt;&gt;"",AG45=""),"지급일 필요",IF(AND(AF45&lt;&gt;"",AN45=""),"증빙ID 필요",IF(OR(Y45&lt;0,AF45&lt;0),"금액 오류",IF(AND(Y45&lt;&gt;"",R45&lt;&gt;"",Y45&gt;R45),"계획 초과","정상")))))))))</x:f>
      </x:c>
    </x:row>
    <x:row r="46" ht="24" customHeight="1">
      <x:c r="A46" s="85"/>
      <x:c r="B46" s="85"/>
      <x:c r="C46" s="85"/>
      <x:c r="D46" s="85"/>
      <x:c r="E46" s="86" t="str">
        <x:f>IF(F46="","",IFERROR(VLOOKUP(F46,'02_승인예산'!$A$7:$S$66,2,FALSE),"예산코드 오류"))</x:f>
      </x:c>
      <x:c r="F46" s="85"/>
      <x:c r="G46" s="86" t="str">
        <x:f>IF(F46="","",IFERROR(VLOOKUP(F46,'02_승인예산'!$A$7:$S$66,4,FALSE),"예산코드 오류"))</x:f>
      </x:c>
      <x:c r="H46" s="85"/>
      <x:c r="I46" s="85"/>
      <x:c r="J46" s="85"/>
      <x:c r="K46" s="85"/>
      <x:c r="L46" s="85"/>
      <x:c r="M46" s="95"/>
      <x:c r="N46" s="92"/>
      <x:c r="O46" s="88"/>
      <x:c r="P46" s="85"/>
      <x:c r="Q46" s="89"/>
      <x:c r="R46" s="90" t="str">
        <x:f>IF(OR(O46="",Q46=""),"",O46*Q46*IF(S46="별도",1.1,1))</x:f>
      </x:c>
      <x:c r="S46" s="85"/>
      <x:c r="T46" s="89"/>
      <x:c r="U46" s="89"/>
      <x:c r="V46" s="92"/>
      <x:c r="W46" s="88"/>
      <x:c r="X46" s="89"/>
      <x:c r="Y46" s="90" t="str">
        <x:f>IF(OR(W46="",X46=""),"",W46*X46*IF(S46="별도",1.1,1))</x:f>
      </x:c>
      <x:c r="Z46" s="93"/>
      <x:c r="AA46" s="90" t="str">
        <x:f>IF(OR(R46="",Y46=""),"",R46-Y46)</x:f>
      </x:c>
      <x:c r="AB46" s="90" t="str">
        <x:f>IF($A46="","",IF($B46="취소",0,IF($C46="제외",0,IF($Y46&lt;&gt;"",$Y46,IF($U46&lt;&gt;"",$U46,IF($T46&lt;&gt;"",$T46,$R46))))))</x:f>
      </x:c>
      <x:c r="AC46" s="91"/>
      <x:c r="AD46" s="91"/>
      <x:c r="AE46" s="91"/>
      <x:c r="AF46" s="90" t="str">
        <x:f>IF(AND(AC46="",AD46="",AE46=""),"",SUM(AC46:AE46))</x:f>
      </x:c>
      <x:c r="AG46" s="94"/>
      <x:c r="AH46" s="91" t="str">
        <x:f>IF(Y46="","",Y46-IF(AF46="",0,AF46))</x:f>
      </x:c>
      <x:c r="AI46" s="87"/>
      <x:c r="AJ46" s="87"/>
      <x:c r="AK46" s="87"/>
      <x:c r="AL46" s="87"/>
      <x:c r="AM46" s="87"/>
      <x:c r="AN46" s="85"/>
      <x:c r="AO46" s="85"/>
      <x:c r="AP46" s="85"/>
      <x:c r="AQ46" s="86" t="str">
        <x:f>IF(A46="","",IF(COUNTIF($A$7:$A$156,A46)&gt;1,"ID 중복",IF(F46="","예산 매핑 필요",IF(OR(E46="예산코드 오류",G46="예산코드 오류"),"예산코드 오류",IF(AND(Y46&lt;&gt;"",Z46=""),"구매일 필요",IF(AND(AF46&lt;&gt;"",AG46=""),"지급일 필요",IF(AND(AF46&lt;&gt;"",AN46=""),"증빙ID 필요",IF(OR(Y46&lt;0,AF46&lt;0),"금액 오류",IF(AND(Y46&lt;&gt;"",R46&lt;&gt;"",Y46&gt;R46),"계획 초과","정상")))))))))</x:f>
      </x:c>
    </x:row>
    <x:row r="47" ht="24" customHeight="1">
      <x:c r="A47" s="85"/>
      <x:c r="B47" s="85"/>
      <x:c r="C47" s="85"/>
      <x:c r="D47" s="85"/>
      <x:c r="E47" s="86" t="str">
        <x:f>IF(F47="","",IFERROR(VLOOKUP(F47,'02_승인예산'!$A$7:$S$66,2,FALSE),"예산코드 오류"))</x:f>
      </x:c>
      <x:c r="F47" s="85"/>
      <x:c r="G47" s="86" t="str">
        <x:f>IF(F47="","",IFERROR(VLOOKUP(F47,'02_승인예산'!$A$7:$S$66,4,FALSE),"예산코드 오류"))</x:f>
      </x:c>
      <x:c r="H47" s="85"/>
      <x:c r="I47" s="85"/>
      <x:c r="J47" s="85"/>
      <x:c r="K47" s="85"/>
      <x:c r="L47" s="85"/>
      <x:c r="M47" s="95"/>
      <x:c r="N47" s="92"/>
      <x:c r="O47" s="88"/>
      <x:c r="P47" s="85"/>
      <x:c r="Q47" s="89"/>
      <x:c r="R47" s="90" t="str">
        <x:f>IF(OR(O47="",Q47=""),"",O47*Q47*IF(S47="별도",1.1,1))</x:f>
      </x:c>
      <x:c r="S47" s="85"/>
      <x:c r="T47" s="89"/>
      <x:c r="U47" s="89"/>
      <x:c r="V47" s="92"/>
      <x:c r="W47" s="88"/>
      <x:c r="X47" s="89"/>
      <x:c r="Y47" s="90" t="str">
        <x:f>IF(OR(W47="",X47=""),"",W47*X47*IF(S47="별도",1.1,1))</x:f>
      </x:c>
      <x:c r="Z47" s="93"/>
      <x:c r="AA47" s="90" t="str">
        <x:f>IF(OR(R47="",Y47=""),"",R47-Y47)</x:f>
      </x:c>
      <x:c r="AB47" s="90" t="str">
        <x:f>IF($A47="","",IF($B47="취소",0,IF($C47="제외",0,IF($Y47&lt;&gt;"",$Y47,IF($U47&lt;&gt;"",$U47,IF($T47&lt;&gt;"",$T47,$R47))))))</x:f>
      </x:c>
      <x:c r="AC47" s="91"/>
      <x:c r="AD47" s="91"/>
      <x:c r="AE47" s="91"/>
      <x:c r="AF47" s="90" t="str">
        <x:f>IF(AND(AC47="",AD47="",AE47=""),"",SUM(AC47:AE47))</x:f>
      </x:c>
      <x:c r="AG47" s="94"/>
      <x:c r="AH47" s="91" t="str">
        <x:f>IF(Y47="","",Y47-IF(AF47="",0,AF47))</x:f>
      </x:c>
      <x:c r="AI47" s="87"/>
      <x:c r="AJ47" s="87"/>
      <x:c r="AK47" s="87"/>
      <x:c r="AL47" s="87"/>
      <x:c r="AM47" s="87"/>
      <x:c r="AN47" s="85"/>
      <x:c r="AO47" s="85"/>
      <x:c r="AP47" s="85"/>
      <x:c r="AQ47" s="86" t="str">
        <x:f>IF(A47="","",IF(COUNTIF($A$7:$A$156,A47)&gt;1,"ID 중복",IF(F47="","예산 매핑 필요",IF(OR(E47="예산코드 오류",G47="예산코드 오류"),"예산코드 오류",IF(AND(Y47&lt;&gt;"",Z47=""),"구매일 필요",IF(AND(AF47&lt;&gt;"",AG47=""),"지급일 필요",IF(AND(AF47&lt;&gt;"",AN47=""),"증빙ID 필요",IF(OR(Y47&lt;0,AF47&lt;0),"금액 오류",IF(AND(Y47&lt;&gt;"",R47&lt;&gt;"",Y47&gt;R47),"계획 초과","정상")))))))))</x:f>
      </x:c>
    </x:row>
    <x:row r="48" ht="24" customHeight="1">
      <x:c r="A48" s="85"/>
      <x:c r="B48" s="85"/>
      <x:c r="C48" s="85"/>
      <x:c r="D48" s="85"/>
      <x:c r="E48" s="86" t="str">
        <x:f>IF(F48="","",IFERROR(VLOOKUP(F48,'02_승인예산'!$A$7:$S$66,2,FALSE),"예산코드 오류"))</x:f>
      </x:c>
      <x:c r="F48" s="85"/>
      <x:c r="G48" s="86" t="str">
        <x:f>IF(F48="","",IFERROR(VLOOKUP(F48,'02_승인예산'!$A$7:$S$66,4,FALSE),"예산코드 오류"))</x:f>
      </x:c>
      <x:c r="H48" s="85"/>
      <x:c r="I48" s="85"/>
      <x:c r="J48" s="85"/>
      <x:c r="K48" s="85"/>
      <x:c r="L48" s="85"/>
      <x:c r="M48" s="95"/>
      <x:c r="N48" s="92"/>
      <x:c r="O48" s="88"/>
      <x:c r="P48" s="85"/>
      <x:c r="Q48" s="89"/>
      <x:c r="R48" s="90" t="str">
        <x:f>IF(OR(O48="",Q48=""),"",O48*Q48*IF(S48="별도",1.1,1))</x:f>
      </x:c>
      <x:c r="S48" s="85"/>
      <x:c r="T48" s="89"/>
      <x:c r="U48" s="89"/>
      <x:c r="V48" s="92"/>
      <x:c r="W48" s="88"/>
      <x:c r="X48" s="89"/>
      <x:c r="Y48" s="90" t="str">
        <x:f>IF(OR(W48="",X48=""),"",W48*X48*IF(S48="별도",1.1,1))</x:f>
      </x:c>
      <x:c r="Z48" s="93"/>
      <x:c r="AA48" s="90" t="str">
        <x:f>IF(OR(R48="",Y48=""),"",R48-Y48)</x:f>
      </x:c>
      <x:c r="AB48" s="90" t="str">
        <x:f>IF($A48="","",IF($B48="취소",0,IF($C48="제외",0,IF($Y48&lt;&gt;"",$Y48,IF($U48&lt;&gt;"",$U48,IF($T48&lt;&gt;"",$T48,$R48))))))</x:f>
      </x:c>
      <x:c r="AC48" s="91"/>
      <x:c r="AD48" s="91"/>
      <x:c r="AE48" s="91"/>
      <x:c r="AF48" s="90" t="str">
        <x:f>IF(AND(AC48="",AD48="",AE48=""),"",SUM(AC48:AE48))</x:f>
      </x:c>
      <x:c r="AG48" s="94"/>
      <x:c r="AH48" s="91" t="str">
        <x:f>IF(Y48="","",Y48-IF(AF48="",0,AF48))</x:f>
      </x:c>
      <x:c r="AI48" s="87"/>
      <x:c r="AJ48" s="87"/>
      <x:c r="AK48" s="87"/>
      <x:c r="AL48" s="87"/>
      <x:c r="AM48" s="87"/>
      <x:c r="AN48" s="85"/>
      <x:c r="AO48" s="85"/>
      <x:c r="AP48" s="85"/>
      <x:c r="AQ48" s="86" t="str">
        <x:f>IF(A48="","",IF(COUNTIF($A$7:$A$156,A48)&gt;1,"ID 중복",IF(F48="","예산 매핑 필요",IF(OR(E48="예산코드 오류",G48="예산코드 오류"),"예산코드 오류",IF(AND(Y48&lt;&gt;"",Z48=""),"구매일 필요",IF(AND(AF48&lt;&gt;"",AG48=""),"지급일 필요",IF(AND(AF48&lt;&gt;"",AN48=""),"증빙ID 필요",IF(OR(Y48&lt;0,AF48&lt;0),"금액 오류",IF(AND(Y48&lt;&gt;"",R48&lt;&gt;"",Y48&gt;R48),"계획 초과","정상")))))))))</x:f>
      </x:c>
    </x:row>
    <x:row r="49" ht="24" customHeight="1">
      <x:c r="A49" s="85"/>
      <x:c r="B49" s="85"/>
      <x:c r="C49" s="85"/>
      <x:c r="D49" s="85"/>
      <x:c r="E49" s="86" t="str">
        <x:f>IF(F49="","",IFERROR(VLOOKUP(F49,'02_승인예산'!$A$7:$S$66,2,FALSE),"예산코드 오류"))</x:f>
      </x:c>
      <x:c r="F49" s="85"/>
      <x:c r="G49" s="86" t="str">
        <x:f>IF(F49="","",IFERROR(VLOOKUP(F49,'02_승인예산'!$A$7:$S$66,4,FALSE),"예산코드 오류"))</x:f>
      </x:c>
      <x:c r="H49" s="85"/>
      <x:c r="I49" s="85"/>
      <x:c r="J49" s="85"/>
      <x:c r="K49" s="85"/>
      <x:c r="L49" s="85"/>
      <x:c r="M49" s="95"/>
      <x:c r="N49" s="92"/>
      <x:c r="O49" s="88"/>
      <x:c r="P49" s="85"/>
      <x:c r="Q49" s="89"/>
      <x:c r="R49" s="90" t="str">
        <x:f>IF(OR(O49="",Q49=""),"",O49*Q49*IF(S49="별도",1.1,1))</x:f>
      </x:c>
      <x:c r="S49" s="85"/>
      <x:c r="T49" s="89"/>
      <x:c r="U49" s="89"/>
      <x:c r="V49" s="92"/>
      <x:c r="W49" s="88"/>
      <x:c r="X49" s="89"/>
      <x:c r="Y49" s="90" t="str">
        <x:f>IF(OR(W49="",X49=""),"",W49*X49*IF(S49="별도",1.1,1))</x:f>
      </x:c>
      <x:c r="Z49" s="93"/>
      <x:c r="AA49" s="90" t="str">
        <x:f>IF(OR(R49="",Y49=""),"",R49-Y49)</x:f>
      </x:c>
      <x:c r="AB49" s="90" t="str">
        <x:f>IF($A49="","",IF($B49="취소",0,IF($C49="제외",0,IF($Y49&lt;&gt;"",$Y49,IF($U49&lt;&gt;"",$U49,IF($T49&lt;&gt;"",$T49,$R49))))))</x:f>
      </x:c>
      <x:c r="AC49" s="91"/>
      <x:c r="AD49" s="91"/>
      <x:c r="AE49" s="91"/>
      <x:c r="AF49" s="90" t="str">
        <x:f>IF(AND(AC49="",AD49="",AE49=""),"",SUM(AC49:AE49))</x:f>
      </x:c>
      <x:c r="AG49" s="94"/>
      <x:c r="AH49" s="91" t="str">
        <x:f>IF(Y49="","",Y49-IF(AF49="",0,AF49))</x:f>
      </x:c>
      <x:c r="AI49" s="87"/>
      <x:c r="AJ49" s="87"/>
      <x:c r="AK49" s="87"/>
      <x:c r="AL49" s="87"/>
      <x:c r="AM49" s="87"/>
      <x:c r="AN49" s="85"/>
      <x:c r="AO49" s="85"/>
      <x:c r="AP49" s="85"/>
      <x:c r="AQ49" s="86" t="str">
        <x:f>IF(A49="","",IF(COUNTIF($A$7:$A$156,A49)&gt;1,"ID 중복",IF(F49="","예산 매핑 필요",IF(OR(E49="예산코드 오류",G49="예산코드 오류"),"예산코드 오류",IF(AND(Y49&lt;&gt;"",Z49=""),"구매일 필요",IF(AND(AF49&lt;&gt;"",AG49=""),"지급일 필요",IF(AND(AF49&lt;&gt;"",AN49=""),"증빙ID 필요",IF(OR(Y49&lt;0,AF49&lt;0),"금액 오류",IF(AND(Y49&lt;&gt;"",R49&lt;&gt;"",Y49&gt;R49),"계획 초과","정상")))))))))</x:f>
      </x:c>
    </x:row>
    <x:row r="50" ht="24" customHeight="1">
      <x:c r="A50" s="85"/>
      <x:c r="B50" s="85"/>
      <x:c r="C50" s="85"/>
      <x:c r="D50" s="85"/>
      <x:c r="E50" s="86" t="str">
        <x:f>IF(F50="","",IFERROR(VLOOKUP(F50,'02_승인예산'!$A$7:$S$66,2,FALSE),"예산코드 오류"))</x:f>
      </x:c>
      <x:c r="F50" s="85"/>
      <x:c r="G50" s="86" t="str">
        <x:f>IF(F50="","",IFERROR(VLOOKUP(F50,'02_승인예산'!$A$7:$S$66,4,FALSE),"예산코드 오류"))</x:f>
      </x:c>
      <x:c r="H50" s="85"/>
      <x:c r="I50" s="85"/>
      <x:c r="J50" s="85"/>
      <x:c r="K50" s="85"/>
      <x:c r="L50" s="85"/>
      <x:c r="M50" s="95"/>
      <x:c r="N50" s="92"/>
      <x:c r="O50" s="88"/>
      <x:c r="P50" s="85"/>
      <x:c r="Q50" s="89"/>
      <x:c r="R50" s="90" t="str">
        <x:f>IF(OR(O50="",Q50=""),"",O50*Q50*IF(S50="별도",1.1,1))</x:f>
      </x:c>
      <x:c r="S50" s="85"/>
      <x:c r="T50" s="89"/>
      <x:c r="U50" s="89"/>
      <x:c r="V50" s="92"/>
      <x:c r="W50" s="88"/>
      <x:c r="X50" s="89"/>
      <x:c r="Y50" s="90" t="str">
        <x:f>IF(OR(W50="",X50=""),"",W50*X50*IF(S50="별도",1.1,1))</x:f>
      </x:c>
      <x:c r="Z50" s="93"/>
      <x:c r="AA50" s="90" t="str">
        <x:f>IF(OR(R50="",Y50=""),"",R50-Y50)</x:f>
      </x:c>
      <x:c r="AB50" s="90" t="str">
        <x:f>IF($A50="","",IF($B50="취소",0,IF($C50="제외",0,IF($Y50&lt;&gt;"",$Y50,IF($U50&lt;&gt;"",$U50,IF($T50&lt;&gt;"",$T50,$R50))))))</x:f>
      </x:c>
      <x:c r="AC50" s="91"/>
      <x:c r="AD50" s="91"/>
      <x:c r="AE50" s="91"/>
      <x:c r="AF50" s="90" t="str">
        <x:f>IF(AND(AC50="",AD50="",AE50=""),"",SUM(AC50:AE50))</x:f>
      </x:c>
      <x:c r="AG50" s="94"/>
      <x:c r="AH50" s="91" t="str">
        <x:f>IF(Y50="","",Y50-IF(AF50="",0,AF50))</x:f>
      </x:c>
      <x:c r="AI50" s="87"/>
      <x:c r="AJ50" s="87"/>
      <x:c r="AK50" s="87"/>
      <x:c r="AL50" s="87"/>
      <x:c r="AM50" s="87"/>
      <x:c r="AN50" s="85"/>
      <x:c r="AO50" s="85"/>
      <x:c r="AP50" s="85"/>
      <x:c r="AQ50" s="86" t="str">
        <x:f>IF(A50="","",IF(COUNTIF($A$7:$A$156,A50)&gt;1,"ID 중복",IF(F50="","예산 매핑 필요",IF(OR(E50="예산코드 오류",G50="예산코드 오류"),"예산코드 오류",IF(AND(Y50&lt;&gt;"",Z50=""),"구매일 필요",IF(AND(AF50&lt;&gt;"",AG50=""),"지급일 필요",IF(AND(AF50&lt;&gt;"",AN50=""),"증빙ID 필요",IF(OR(Y50&lt;0,AF50&lt;0),"금액 오류",IF(AND(Y50&lt;&gt;"",R50&lt;&gt;"",Y50&gt;R50),"계획 초과","정상")))))))))</x:f>
      </x:c>
    </x:row>
    <x:row r="51" ht="24" customHeight="1">
      <x:c r="A51" s="85"/>
      <x:c r="B51" s="85"/>
      <x:c r="C51" s="85"/>
      <x:c r="D51" s="85"/>
      <x:c r="E51" s="86" t="str">
        <x:f>IF(F51="","",IFERROR(VLOOKUP(F51,'02_승인예산'!$A$7:$S$66,2,FALSE),"예산코드 오류"))</x:f>
      </x:c>
      <x:c r="F51" s="85"/>
      <x:c r="G51" s="86" t="str">
        <x:f>IF(F51="","",IFERROR(VLOOKUP(F51,'02_승인예산'!$A$7:$S$66,4,FALSE),"예산코드 오류"))</x:f>
      </x:c>
      <x:c r="H51" s="85"/>
      <x:c r="I51" s="85"/>
      <x:c r="J51" s="85"/>
      <x:c r="K51" s="85"/>
      <x:c r="L51" s="85"/>
      <x:c r="M51" s="95"/>
      <x:c r="N51" s="92"/>
      <x:c r="O51" s="88"/>
      <x:c r="P51" s="85"/>
      <x:c r="Q51" s="89"/>
      <x:c r="R51" s="90" t="str">
        <x:f>IF(OR(O51="",Q51=""),"",O51*Q51*IF(S51="별도",1.1,1))</x:f>
      </x:c>
      <x:c r="S51" s="85"/>
      <x:c r="T51" s="89"/>
      <x:c r="U51" s="89"/>
      <x:c r="V51" s="92"/>
      <x:c r="W51" s="88"/>
      <x:c r="X51" s="89"/>
      <x:c r="Y51" s="90" t="str">
        <x:f>IF(OR(W51="",X51=""),"",W51*X51*IF(S51="별도",1.1,1))</x:f>
      </x:c>
      <x:c r="Z51" s="93"/>
      <x:c r="AA51" s="90" t="str">
        <x:f>IF(OR(R51="",Y51=""),"",R51-Y51)</x:f>
      </x:c>
      <x:c r="AB51" s="90" t="str">
        <x:f>IF($A51="","",IF($B51="취소",0,IF($C51="제외",0,IF($Y51&lt;&gt;"",$Y51,IF($U51&lt;&gt;"",$U51,IF($T51&lt;&gt;"",$T51,$R51))))))</x:f>
      </x:c>
      <x:c r="AC51" s="91"/>
      <x:c r="AD51" s="91"/>
      <x:c r="AE51" s="91"/>
      <x:c r="AF51" s="90" t="str">
        <x:f>IF(AND(AC51="",AD51="",AE51=""),"",SUM(AC51:AE51))</x:f>
      </x:c>
      <x:c r="AG51" s="94"/>
      <x:c r="AH51" s="91" t="str">
        <x:f>IF(Y51="","",Y51-IF(AF51="",0,AF51))</x:f>
      </x:c>
      <x:c r="AI51" s="87"/>
      <x:c r="AJ51" s="87"/>
      <x:c r="AK51" s="87"/>
      <x:c r="AL51" s="87"/>
      <x:c r="AM51" s="87"/>
      <x:c r="AN51" s="85"/>
      <x:c r="AO51" s="85"/>
      <x:c r="AP51" s="85"/>
      <x:c r="AQ51" s="86" t="str">
        <x:f>IF(A51="","",IF(COUNTIF($A$7:$A$156,A51)&gt;1,"ID 중복",IF(F51="","예산 매핑 필요",IF(OR(E51="예산코드 오류",G51="예산코드 오류"),"예산코드 오류",IF(AND(Y51&lt;&gt;"",Z51=""),"구매일 필요",IF(AND(AF51&lt;&gt;"",AG51=""),"지급일 필요",IF(AND(AF51&lt;&gt;"",AN51=""),"증빙ID 필요",IF(OR(Y51&lt;0,AF51&lt;0),"금액 오류",IF(AND(Y51&lt;&gt;"",R51&lt;&gt;"",Y51&gt;R51),"계획 초과","정상")))))))))</x:f>
      </x:c>
    </x:row>
    <x:row r="52" ht="24" customHeight="1">
      <x:c r="A52" s="85"/>
      <x:c r="B52" s="85"/>
      <x:c r="C52" s="85"/>
      <x:c r="D52" s="85"/>
      <x:c r="E52" s="86" t="str">
        <x:f>IF(F52="","",IFERROR(VLOOKUP(F52,'02_승인예산'!$A$7:$S$66,2,FALSE),"예산코드 오류"))</x:f>
      </x:c>
      <x:c r="F52" s="85"/>
      <x:c r="G52" s="86" t="str">
        <x:f>IF(F52="","",IFERROR(VLOOKUP(F52,'02_승인예산'!$A$7:$S$66,4,FALSE),"예산코드 오류"))</x:f>
      </x:c>
      <x:c r="H52" s="85"/>
      <x:c r="I52" s="85"/>
      <x:c r="J52" s="85"/>
      <x:c r="K52" s="85"/>
      <x:c r="L52" s="85"/>
      <x:c r="M52" s="95"/>
      <x:c r="N52" s="92"/>
      <x:c r="O52" s="88"/>
      <x:c r="P52" s="85"/>
      <x:c r="Q52" s="89"/>
      <x:c r="R52" s="90" t="str">
        <x:f>IF(OR(O52="",Q52=""),"",O52*Q52*IF(S52="별도",1.1,1))</x:f>
      </x:c>
      <x:c r="S52" s="85"/>
      <x:c r="T52" s="89"/>
      <x:c r="U52" s="89"/>
      <x:c r="V52" s="92"/>
      <x:c r="W52" s="88"/>
      <x:c r="X52" s="89"/>
      <x:c r="Y52" s="90" t="str">
        <x:f>IF(OR(W52="",X52=""),"",W52*X52*IF(S52="별도",1.1,1))</x:f>
      </x:c>
      <x:c r="Z52" s="93"/>
      <x:c r="AA52" s="90" t="str">
        <x:f>IF(OR(R52="",Y52=""),"",R52-Y52)</x:f>
      </x:c>
      <x:c r="AB52" s="90" t="str">
        <x:f>IF($A52="","",IF($B52="취소",0,IF($C52="제외",0,IF($Y52&lt;&gt;"",$Y52,IF($U52&lt;&gt;"",$U52,IF($T52&lt;&gt;"",$T52,$R52))))))</x:f>
      </x:c>
      <x:c r="AC52" s="91"/>
      <x:c r="AD52" s="91"/>
      <x:c r="AE52" s="91"/>
      <x:c r="AF52" s="90" t="str">
        <x:f>IF(AND(AC52="",AD52="",AE52=""),"",SUM(AC52:AE52))</x:f>
      </x:c>
      <x:c r="AG52" s="94"/>
      <x:c r="AH52" s="91" t="str">
        <x:f>IF(Y52="","",Y52-IF(AF52="",0,AF52))</x:f>
      </x:c>
      <x:c r="AI52" s="87"/>
      <x:c r="AJ52" s="87"/>
      <x:c r="AK52" s="87"/>
      <x:c r="AL52" s="87"/>
      <x:c r="AM52" s="87"/>
      <x:c r="AN52" s="85"/>
      <x:c r="AO52" s="85"/>
      <x:c r="AP52" s="85"/>
      <x:c r="AQ52" s="86" t="str">
        <x:f>IF(A52="","",IF(COUNTIF($A$7:$A$156,A52)&gt;1,"ID 중복",IF(F52="","예산 매핑 필요",IF(OR(E52="예산코드 오류",G52="예산코드 오류"),"예산코드 오류",IF(AND(Y52&lt;&gt;"",Z52=""),"구매일 필요",IF(AND(AF52&lt;&gt;"",AG52=""),"지급일 필요",IF(AND(AF52&lt;&gt;"",AN52=""),"증빙ID 필요",IF(OR(Y52&lt;0,AF52&lt;0),"금액 오류",IF(AND(Y52&lt;&gt;"",R52&lt;&gt;"",Y52&gt;R52),"계획 초과","정상")))))))))</x:f>
      </x:c>
    </x:row>
    <x:row r="53" ht="24" customHeight="1">
      <x:c r="A53" s="85"/>
      <x:c r="B53" s="85"/>
      <x:c r="C53" s="85"/>
      <x:c r="D53" s="85"/>
      <x:c r="E53" s="86" t="str">
        <x:f>IF(F53="","",IFERROR(VLOOKUP(F53,'02_승인예산'!$A$7:$S$66,2,FALSE),"예산코드 오류"))</x:f>
      </x:c>
      <x:c r="F53" s="85"/>
      <x:c r="G53" s="86" t="str">
        <x:f>IF(F53="","",IFERROR(VLOOKUP(F53,'02_승인예산'!$A$7:$S$66,4,FALSE),"예산코드 오류"))</x:f>
      </x:c>
      <x:c r="H53" s="85"/>
      <x:c r="I53" s="85"/>
      <x:c r="J53" s="85"/>
      <x:c r="K53" s="85"/>
      <x:c r="L53" s="85"/>
      <x:c r="M53" s="95"/>
      <x:c r="N53" s="92"/>
      <x:c r="O53" s="88"/>
      <x:c r="P53" s="85"/>
      <x:c r="Q53" s="89"/>
      <x:c r="R53" s="90" t="str">
        <x:f>IF(OR(O53="",Q53=""),"",O53*Q53*IF(S53="별도",1.1,1))</x:f>
      </x:c>
      <x:c r="S53" s="85"/>
      <x:c r="T53" s="89"/>
      <x:c r="U53" s="89"/>
      <x:c r="V53" s="92"/>
      <x:c r="W53" s="88"/>
      <x:c r="X53" s="89"/>
      <x:c r="Y53" s="90" t="str">
        <x:f>IF(OR(W53="",X53=""),"",W53*X53*IF(S53="별도",1.1,1))</x:f>
      </x:c>
      <x:c r="Z53" s="93"/>
      <x:c r="AA53" s="90" t="str">
        <x:f>IF(OR(R53="",Y53=""),"",R53-Y53)</x:f>
      </x:c>
      <x:c r="AB53" s="90" t="str">
        <x:f>IF($A53="","",IF($B53="취소",0,IF($C53="제외",0,IF($Y53&lt;&gt;"",$Y53,IF($U53&lt;&gt;"",$U53,IF($T53&lt;&gt;"",$T53,$R53))))))</x:f>
      </x:c>
      <x:c r="AC53" s="91"/>
      <x:c r="AD53" s="91"/>
      <x:c r="AE53" s="91"/>
      <x:c r="AF53" s="90" t="str">
        <x:f>IF(AND(AC53="",AD53="",AE53=""),"",SUM(AC53:AE53))</x:f>
      </x:c>
      <x:c r="AG53" s="94"/>
      <x:c r="AH53" s="91" t="str">
        <x:f>IF(Y53="","",Y53-IF(AF53="",0,AF53))</x:f>
      </x:c>
      <x:c r="AI53" s="87"/>
      <x:c r="AJ53" s="87"/>
      <x:c r="AK53" s="87"/>
      <x:c r="AL53" s="87"/>
      <x:c r="AM53" s="87"/>
      <x:c r="AN53" s="85"/>
      <x:c r="AO53" s="85"/>
      <x:c r="AP53" s="85"/>
      <x:c r="AQ53" s="86" t="str">
        <x:f>IF(A53="","",IF(COUNTIF($A$7:$A$156,A53)&gt;1,"ID 중복",IF(F53="","예산 매핑 필요",IF(OR(E53="예산코드 오류",G53="예산코드 오류"),"예산코드 오류",IF(AND(Y53&lt;&gt;"",Z53=""),"구매일 필요",IF(AND(AF53&lt;&gt;"",AG53=""),"지급일 필요",IF(AND(AF53&lt;&gt;"",AN53=""),"증빙ID 필요",IF(OR(Y53&lt;0,AF53&lt;0),"금액 오류",IF(AND(Y53&lt;&gt;"",R53&lt;&gt;"",Y53&gt;R53),"계획 초과","정상")))))))))</x:f>
      </x:c>
    </x:row>
    <x:row r="54" ht="24" customHeight="1">
      <x:c r="A54" s="85"/>
      <x:c r="B54" s="85"/>
      <x:c r="C54" s="85"/>
      <x:c r="D54" s="85"/>
      <x:c r="E54" s="86" t="str">
        <x:f>IF(F54="","",IFERROR(VLOOKUP(F54,'02_승인예산'!$A$7:$S$66,2,FALSE),"예산코드 오류"))</x:f>
      </x:c>
      <x:c r="F54" s="85"/>
      <x:c r="G54" s="86" t="str">
        <x:f>IF(F54="","",IFERROR(VLOOKUP(F54,'02_승인예산'!$A$7:$S$66,4,FALSE),"예산코드 오류"))</x:f>
      </x:c>
      <x:c r="H54" s="85"/>
      <x:c r="I54" s="85"/>
      <x:c r="J54" s="85"/>
      <x:c r="K54" s="85"/>
      <x:c r="L54" s="85"/>
      <x:c r="M54" s="95"/>
      <x:c r="N54" s="92"/>
      <x:c r="O54" s="88"/>
      <x:c r="P54" s="85"/>
      <x:c r="Q54" s="89"/>
      <x:c r="R54" s="90" t="str">
        <x:f>IF(OR(O54="",Q54=""),"",O54*Q54*IF(S54="별도",1.1,1))</x:f>
      </x:c>
      <x:c r="S54" s="85"/>
      <x:c r="T54" s="89"/>
      <x:c r="U54" s="89"/>
      <x:c r="V54" s="92"/>
      <x:c r="W54" s="88"/>
      <x:c r="X54" s="89"/>
      <x:c r="Y54" s="90" t="str">
        <x:f>IF(OR(W54="",X54=""),"",W54*X54*IF(S54="별도",1.1,1))</x:f>
      </x:c>
      <x:c r="Z54" s="93"/>
      <x:c r="AA54" s="90" t="str">
        <x:f>IF(OR(R54="",Y54=""),"",R54-Y54)</x:f>
      </x:c>
      <x:c r="AB54" s="90" t="str">
        <x:f>IF($A54="","",IF($B54="취소",0,IF($C54="제외",0,IF($Y54&lt;&gt;"",$Y54,IF($U54&lt;&gt;"",$U54,IF($T54&lt;&gt;"",$T54,$R54))))))</x:f>
      </x:c>
      <x:c r="AC54" s="91"/>
      <x:c r="AD54" s="91"/>
      <x:c r="AE54" s="91"/>
      <x:c r="AF54" s="90" t="str">
        <x:f>IF(AND(AC54="",AD54="",AE54=""),"",SUM(AC54:AE54))</x:f>
      </x:c>
      <x:c r="AG54" s="94"/>
      <x:c r="AH54" s="91" t="str">
        <x:f>IF(Y54="","",Y54-IF(AF54="",0,AF54))</x:f>
      </x:c>
      <x:c r="AI54" s="87"/>
      <x:c r="AJ54" s="87"/>
      <x:c r="AK54" s="87"/>
      <x:c r="AL54" s="87"/>
      <x:c r="AM54" s="87"/>
      <x:c r="AN54" s="85"/>
      <x:c r="AO54" s="85"/>
      <x:c r="AP54" s="85"/>
      <x:c r="AQ54" s="86" t="str">
        <x:f>IF(A54="","",IF(COUNTIF($A$7:$A$156,A54)&gt;1,"ID 중복",IF(F54="","예산 매핑 필요",IF(OR(E54="예산코드 오류",G54="예산코드 오류"),"예산코드 오류",IF(AND(Y54&lt;&gt;"",Z54=""),"구매일 필요",IF(AND(AF54&lt;&gt;"",AG54=""),"지급일 필요",IF(AND(AF54&lt;&gt;"",AN54=""),"증빙ID 필요",IF(OR(Y54&lt;0,AF54&lt;0),"금액 오류",IF(AND(Y54&lt;&gt;"",R54&lt;&gt;"",Y54&gt;R54),"계획 초과","정상")))))))))</x:f>
      </x:c>
    </x:row>
    <x:row r="55" ht="24" customHeight="1">
      <x:c r="A55" s="85"/>
      <x:c r="B55" s="85"/>
      <x:c r="C55" s="85"/>
      <x:c r="D55" s="85"/>
      <x:c r="E55" s="86" t="str">
        <x:f>IF(F55="","",IFERROR(VLOOKUP(F55,'02_승인예산'!$A$7:$S$66,2,FALSE),"예산코드 오류"))</x:f>
      </x:c>
      <x:c r="F55" s="85"/>
      <x:c r="G55" s="86" t="str">
        <x:f>IF(F55="","",IFERROR(VLOOKUP(F55,'02_승인예산'!$A$7:$S$66,4,FALSE),"예산코드 오류"))</x:f>
      </x:c>
      <x:c r="H55" s="85"/>
      <x:c r="I55" s="85"/>
      <x:c r="J55" s="85"/>
      <x:c r="K55" s="85"/>
      <x:c r="L55" s="85"/>
      <x:c r="M55" s="95"/>
      <x:c r="N55" s="92"/>
      <x:c r="O55" s="88"/>
      <x:c r="P55" s="85"/>
      <x:c r="Q55" s="89"/>
      <x:c r="R55" s="90" t="str">
        <x:f>IF(OR(O55="",Q55=""),"",O55*Q55*IF(S55="별도",1.1,1))</x:f>
      </x:c>
      <x:c r="S55" s="85"/>
      <x:c r="T55" s="89"/>
      <x:c r="U55" s="89"/>
      <x:c r="V55" s="92"/>
      <x:c r="W55" s="88"/>
      <x:c r="X55" s="89"/>
      <x:c r="Y55" s="90" t="str">
        <x:f>IF(OR(W55="",X55=""),"",W55*X55*IF(S55="별도",1.1,1))</x:f>
      </x:c>
      <x:c r="Z55" s="93"/>
      <x:c r="AA55" s="90" t="str">
        <x:f>IF(OR(R55="",Y55=""),"",R55-Y55)</x:f>
      </x:c>
      <x:c r="AB55" s="90" t="str">
        <x:f>IF($A55="","",IF($B55="취소",0,IF($C55="제외",0,IF($Y55&lt;&gt;"",$Y55,IF($U55&lt;&gt;"",$U55,IF($T55&lt;&gt;"",$T55,$R55))))))</x:f>
      </x:c>
      <x:c r="AC55" s="91"/>
      <x:c r="AD55" s="91"/>
      <x:c r="AE55" s="91"/>
      <x:c r="AF55" s="90" t="str">
        <x:f>IF(AND(AC55="",AD55="",AE55=""),"",SUM(AC55:AE55))</x:f>
      </x:c>
      <x:c r="AG55" s="94"/>
      <x:c r="AH55" s="91" t="str">
        <x:f>IF(Y55="","",Y55-IF(AF55="",0,AF55))</x:f>
      </x:c>
      <x:c r="AI55" s="87"/>
      <x:c r="AJ55" s="87"/>
      <x:c r="AK55" s="87"/>
      <x:c r="AL55" s="87"/>
      <x:c r="AM55" s="87"/>
      <x:c r="AN55" s="85"/>
      <x:c r="AO55" s="85"/>
      <x:c r="AP55" s="85"/>
      <x:c r="AQ55" s="86" t="str">
        <x:f>IF(A55="","",IF(COUNTIF($A$7:$A$156,A55)&gt;1,"ID 중복",IF(F55="","예산 매핑 필요",IF(OR(E55="예산코드 오류",G55="예산코드 오류"),"예산코드 오류",IF(AND(Y55&lt;&gt;"",Z55=""),"구매일 필요",IF(AND(AF55&lt;&gt;"",AG55=""),"지급일 필요",IF(AND(AF55&lt;&gt;"",AN55=""),"증빙ID 필요",IF(OR(Y55&lt;0,AF55&lt;0),"금액 오류",IF(AND(Y55&lt;&gt;"",R55&lt;&gt;"",Y55&gt;R55),"계획 초과","정상")))))))))</x:f>
      </x:c>
    </x:row>
    <x:row r="56" ht="24" customHeight="1">
      <x:c r="A56" s="85"/>
      <x:c r="B56" s="85"/>
      <x:c r="C56" s="85"/>
      <x:c r="D56" s="85"/>
      <x:c r="E56" s="86" t="str">
        <x:f>IF(F56="","",IFERROR(VLOOKUP(F56,'02_승인예산'!$A$7:$S$66,2,FALSE),"예산코드 오류"))</x:f>
      </x:c>
      <x:c r="F56" s="85"/>
      <x:c r="G56" s="86" t="str">
        <x:f>IF(F56="","",IFERROR(VLOOKUP(F56,'02_승인예산'!$A$7:$S$66,4,FALSE),"예산코드 오류"))</x:f>
      </x:c>
      <x:c r="H56" s="85"/>
      <x:c r="I56" s="85"/>
      <x:c r="J56" s="85"/>
      <x:c r="K56" s="85"/>
      <x:c r="L56" s="85"/>
      <x:c r="M56" s="95"/>
      <x:c r="N56" s="92"/>
      <x:c r="O56" s="88"/>
      <x:c r="P56" s="85"/>
      <x:c r="Q56" s="89"/>
      <x:c r="R56" s="90" t="str">
        <x:f>IF(OR(O56="",Q56=""),"",O56*Q56*IF(S56="별도",1.1,1))</x:f>
      </x:c>
      <x:c r="S56" s="85"/>
      <x:c r="T56" s="89"/>
      <x:c r="U56" s="89"/>
      <x:c r="V56" s="92"/>
      <x:c r="W56" s="88"/>
      <x:c r="X56" s="89"/>
      <x:c r="Y56" s="90" t="str">
        <x:f>IF(OR(W56="",X56=""),"",W56*X56*IF(S56="별도",1.1,1))</x:f>
      </x:c>
      <x:c r="Z56" s="93"/>
      <x:c r="AA56" s="90" t="str">
        <x:f>IF(OR(R56="",Y56=""),"",R56-Y56)</x:f>
      </x:c>
      <x:c r="AB56" s="90" t="str">
        <x:f>IF($A56="","",IF($B56="취소",0,IF($C56="제외",0,IF($Y56&lt;&gt;"",$Y56,IF($U56&lt;&gt;"",$U56,IF($T56&lt;&gt;"",$T56,$R56))))))</x:f>
      </x:c>
      <x:c r="AC56" s="91"/>
      <x:c r="AD56" s="91"/>
      <x:c r="AE56" s="91"/>
      <x:c r="AF56" s="90" t="str">
        <x:f>IF(AND(AC56="",AD56="",AE56=""),"",SUM(AC56:AE56))</x:f>
      </x:c>
      <x:c r="AG56" s="94"/>
      <x:c r="AH56" s="91" t="str">
        <x:f>IF(Y56="","",Y56-IF(AF56="",0,AF56))</x:f>
      </x:c>
      <x:c r="AI56" s="87"/>
      <x:c r="AJ56" s="87"/>
      <x:c r="AK56" s="87"/>
      <x:c r="AL56" s="87"/>
      <x:c r="AM56" s="87"/>
      <x:c r="AN56" s="85"/>
      <x:c r="AO56" s="85"/>
      <x:c r="AP56" s="85"/>
      <x:c r="AQ56" s="86" t="str">
        <x:f>IF(A56="","",IF(COUNTIF($A$7:$A$156,A56)&gt;1,"ID 중복",IF(F56="","예산 매핑 필요",IF(OR(E56="예산코드 오류",G56="예산코드 오류"),"예산코드 오류",IF(AND(Y56&lt;&gt;"",Z56=""),"구매일 필요",IF(AND(AF56&lt;&gt;"",AG56=""),"지급일 필요",IF(AND(AF56&lt;&gt;"",AN56=""),"증빙ID 필요",IF(OR(Y56&lt;0,AF56&lt;0),"금액 오류",IF(AND(Y56&lt;&gt;"",R56&lt;&gt;"",Y56&gt;R56),"계획 초과","정상")))))))))</x:f>
      </x:c>
    </x:row>
    <x:row r="57" ht="24" customHeight="1">
      <x:c r="A57" s="85"/>
      <x:c r="B57" s="85"/>
      <x:c r="C57" s="85"/>
      <x:c r="D57" s="85"/>
      <x:c r="E57" s="86" t="str">
        <x:f>IF(F57="","",IFERROR(VLOOKUP(F57,'02_승인예산'!$A$7:$S$66,2,FALSE),"예산코드 오류"))</x:f>
      </x:c>
      <x:c r="F57" s="85"/>
      <x:c r="G57" s="86" t="str">
        <x:f>IF(F57="","",IFERROR(VLOOKUP(F57,'02_승인예산'!$A$7:$S$66,4,FALSE),"예산코드 오류"))</x:f>
      </x:c>
      <x:c r="H57" s="85"/>
      <x:c r="I57" s="85"/>
      <x:c r="J57" s="85"/>
      <x:c r="K57" s="85"/>
      <x:c r="L57" s="85"/>
      <x:c r="M57" s="95"/>
      <x:c r="N57" s="92"/>
      <x:c r="O57" s="88"/>
      <x:c r="P57" s="85"/>
      <x:c r="Q57" s="89"/>
      <x:c r="R57" s="90" t="str">
        <x:f>IF(OR(O57="",Q57=""),"",O57*Q57*IF(S57="별도",1.1,1))</x:f>
      </x:c>
      <x:c r="S57" s="85"/>
      <x:c r="T57" s="89"/>
      <x:c r="U57" s="89"/>
      <x:c r="V57" s="92"/>
      <x:c r="W57" s="88"/>
      <x:c r="X57" s="89"/>
      <x:c r="Y57" s="90" t="str">
        <x:f>IF(OR(W57="",X57=""),"",W57*X57*IF(S57="별도",1.1,1))</x:f>
      </x:c>
      <x:c r="Z57" s="93"/>
      <x:c r="AA57" s="90" t="str">
        <x:f>IF(OR(R57="",Y57=""),"",R57-Y57)</x:f>
      </x:c>
      <x:c r="AB57" s="90" t="str">
        <x:f>IF($A57="","",IF($B57="취소",0,IF($C57="제외",0,IF($Y57&lt;&gt;"",$Y57,IF($U57&lt;&gt;"",$U57,IF($T57&lt;&gt;"",$T57,$R57))))))</x:f>
      </x:c>
      <x:c r="AC57" s="91"/>
      <x:c r="AD57" s="91"/>
      <x:c r="AE57" s="91"/>
      <x:c r="AF57" s="90" t="str">
        <x:f>IF(AND(AC57="",AD57="",AE57=""),"",SUM(AC57:AE57))</x:f>
      </x:c>
      <x:c r="AG57" s="94"/>
      <x:c r="AH57" s="91" t="str">
        <x:f>IF(Y57="","",Y57-IF(AF57="",0,AF57))</x:f>
      </x:c>
      <x:c r="AI57" s="87"/>
      <x:c r="AJ57" s="87"/>
      <x:c r="AK57" s="87"/>
      <x:c r="AL57" s="87"/>
      <x:c r="AM57" s="87"/>
      <x:c r="AN57" s="85"/>
      <x:c r="AO57" s="85"/>
      <x:c r="AP57" s="85"/>
      <x:c r="AQ57" s="86" t="str">
        <x:f>IF(A57="","",IF(COUNTIF($A$7:$A$156,A57)&gt;1,"ID 중복",IF(F57="","예산 매핑 필요",IF(OR(E57="예산코드 오류",G57="예산코드 오류"),"예산코드 오류",IF(AND(Y57&lt;&gt;"",Z57=""),"구매일 필요",IF(AND(AF57&lt;&gt;"",AG57=""),"지급일 필요",IF(AND(AF57&lt;&gt;"",AN57=""),"증빙ID 필요",IF(OR(Y57&lt;0,AF57&lt;0),"금액 오류",IF(AND(Y57&lt;&gt;"",R57&lt;&gt;"",Y57&gt;R57),"계획 초과","정상")))))))))</x:f>
      </x:c>
    </x:row>
    <x:row r="58" ht="24" customHeight="1">
      <x:c r="A58" s="85"/>
      <x:c r="B58" s="85"/>
      <x:c r="C58" s="85"/>
      <x:c r="D58" s="85"/>
      <x:c r="E58" s="86" t="str">
        <x:f>IF(F58="","",IFERROR(VLOOKUP(F58,'02_승인예산'!$A$7:$S$66,2,FALSE),"예산코드 오류"))</x:f>
      </x:c>
      <x:c r="F58" s="85"/>
      <x:c r="G58" s="86" t="str">
        <x:f>IF(F58="","",IFERROR(VLOOKUP(F58,'02_승인예산'!$A$7:$S$66,4,FALSE),"예산코드 오류"))</x:f>
      </x:c>
      <x:c r="H58" s="85"/>
      <x:c r="I58" s="85"/>
      <x:c r="J58" s="85"/>
      <x:c r="K58" s="85"/>
      <x:c r="L58" s="85"/>
      <x:c r="M58" s="95"/>
      <x:c r="N58" s="92"/>
      <x:c r="O58" s="88"/>
      <x:c r="P58" s="85"/>
      <x:c r="Q58" s="89"/>
      <x:c r="R58" s="90" t="str">
        <x:f>IF(OR(O58="",Q58=""),"",O58*Q58*IF(S58="별도",1.1,1))</x:f>
      </x:c>
      <x:c r="S58" s="85"/>
      <x:c r="T58" s="89"/>
      <x:c r="U58" s="89"/>
      <x:c r="V58" s="92"/>
      <x:c r="W58" s="88"/>
      <x:c r="X58" s="89"/>
      <x:c r="Y58" s="90" t="str">
        <x:f>IF(OR(W58="",X58=""),"",W58*X58*IF(S58="별도",1.1,1))</x:f>
      </x:c>
      <x:c r="Z58" s="93"/>
      <x:c r="AA58" s="90" t="str">
        <x:f>IF(OR(R58="",Y58=""),"",R58-Y58)</x:f>
      </x:c>
      <x:c r="AB58" s="90" t="str">
        <x:f>IF($A58="","",IF($B58="취소",0,IF($C58="제외",0,IF($Y58&lt;&gt;"",$Y58,IF($U58&lt;&gt;"",$U58,IF($T58&lt;&gt;"",$T58,$R58))))))</x:f>
      </x:c>
      <x:c r="AC58" s="91"/>
      <x:c r="AD58" s="91"/>
      <x:c r="AE58" s="91"/>
      <x:c r="AF58" s="90" t="str">
        <x:f>IF(AND(AC58="",AD58="",AE58=""),"",SUM(AC58:AE58))</x:f>
      </x:c>
      <x:c r="AG58" s="94"/>
      <x:c r="AH58" s="91" t="str">
        <x:f>IF(Y58="","",Y58-IF(AF58="",0,AF58))</x:f>
      </x:c>
      <x:c r="AI58" s="87"/>
      <x:c r="AJ58" s="87"/>
      <x:c r="AK58" s="87"/>
      <x:c r="AL58" s="87"/>
      <x:c r="AM58" s="87"/>
      <x:c r="AN58" s="85"/>
      <x:c r="AO58" s="85"/>
      <x:c r="AP58" s="85"/>
      <x:c r="AQ58" s="86" t="str">
        <x:f>IF(A58="","",IF(COUNTIF($A$7:$A$156,A58)&gt;1,"ID 중복",IF(F58="","예산 매핑 필요",IF(OR(E58="예산코드 오류",G58="예산코드 오류"),"예산코드 오류",IF(AND(Y58&lt;&gt;"",Z58=""),"구매일 필요",IF(AND(AF58&lt;&gt;"",AG58=""),"지급일 필요",IF(AND(AF58&lt;&gt;"",AN58=""),"증빙ID 필요",IF(OR(Y58&lt;0,AF58&lt;0),"금액 오류",IF(AND(Y58&lt;&gt;"",R58&lt;&gt;"",Y58&gt;R58),"계획 초과","정상")))))))))</x:f>
      </x:c>
    </x:row>
    <x:row r="59" ht="24" customHeight="1">
      <x:c r="A59" s="85"/>
      <x:c r="B59" s="85"/>
      <x:c r="C59" s="85"/>
      <x:c r="D59" s="85"/>
      <x:c r="E59" s="86" t="str">
        <x:f>IF(F59="","",IFERROR(VLOOKUP(F59,'02_승인예산'!$A$7:$S$66,2,FALSE),"예산코드 오류"))</x:f>
      </x:c>
      <x:c r="F59" s="85"/>
      <x:c r="G59" s="86" t="str">
        <x:f>IF(F59="","",IFERROR(VLOOKUP(F59,'02_승인예산'!$A$7:$S$66,4,FALSE),"예산코드 오류"))</x:f>
      </x:c>
      <x:c r="H59" s="85"/>
      <x:c r="I59" s="85"/>
      <x:c r="J59" s="85"/>
      <x:c r="K59" s="85"/>
      <x:c r="L59" s="85"/>
      <x:c r="M59" s="95"/>
      <x:c r="N59" s="92"/>
      <x:c r="O59" s="88"/>
      <x:c r="P59" s="85"/>
      <x:c r="Q59" s="89"/>
      <x:c r="R59" s="90" t="str">
        <x:f>IF(OR(O59="",Q59=""),"",O59*Q59*IF(S59="별도",1.1,1))</x:f>
      </x:c>
      <x:c r="S59" s="85"/>
      <x:c r="T59" s="89"/>
      <x:c r="U59" s="89"/>
      <x:c r="V59" s="92"/>
      <x:c r="W59" s="88"/>
      <x:c r="X59" s="89"/>
      <x:c r="Y59" s="90" t="str">
        <x:f>IF(OR(W59="",X59=""),"",W59*X59*IF(S59="별도",1.1,1))</x:f>
      </x:c>
      <x:c r="Z59" s="93"/>
      <x:c r="AA59" s="90" t="str">
        <x:f>IF(OR(R59="",Y59=""),"",R59-Y59)</x:f>
      </x:c>
      <x:c r="AB59" s="90" t="str">
        <x:f>IF($A59="","",IF($B59="취소",0,IF($C59="제외",0,IF($Y59&lt;&gt;"",$Y59,IF($U59&lt;&gt;"",$U59,IF($T59&lt;&gt;"",$T59,$R59))))))</x:f>
      </x:c>
      <x:c r="AC59" s="91"/>
      <x:c r="AD59" s="91"/>
      <x:c r="AE59" s="91"/>
      <x:c r="AF59" s="90" t="str">
        <x:f>IF(AND(AC59="",AD59="",AE59=""),"",SUM(AC59:AE59))</x:f>
      </x:c>
      <x:c r="AG59" s="94"/>
      <x:c r="AH59" s="91" t="str">
        <x:f>IF(Y59="","",Y59-IF(AF59="",0,AF59))</x:f>
      </x:c>
      <x:c r="AI59" s="87"/>
      <x:c r="AJ59" s="87"/>
      <x:c r="AK59" s="87"/>
      <x:c r="AL59" s="87"/>
      <x:c r="AM59" s="87"/>
      <x:c r="AN59" s="85"/>
      <x:c r="AO59" s="85"/>
      <x:c r="AP59" s="85"/>
      <x:c r="AQ59" s="86" t="str">
        <x:f>IF(A59="","",IF(COUNTIF($A$7:$A$156,A59)&gt;1,"ID 중복",IF(F59="","예산 매핑 필요",IF(OR(E59="예산코드 오류",G59="예산코드 오류"),"예산코드 오류",IF(AND(Y59&lt;&gt;"",Z59=""),"구매일 필요",IF(AND(AF59&lt;&gt;"",AG59=""),"지급일 필요",IF(AND(AF59&lt;&gt;"",AN59=""),"증빙ID 필요",IF(OR(Y59&lt;0,AF59&lt;0),"금액 오류",IF(AND(Y59&lt;&gt;"",R59&lt;&gt;"",Y59&gt;R59),"계획 초과","정상")))))))))</x:f>
      </x:c>
    </x:row>
    <x:row r="60" ht="24" customHeight="1">
      <x:c r="A60" s="85"/>
      <x:c r="B60" s="85"/>
      <x:c r="C60" s="85"/>
      <x:c r="D60" s="85"/>
      <x:c r="E60" s="86" t="str">
        <x:f>IF(F60="","",IFERROR(VLOOKUP(F60,'02_승인예산'!$A$7:$S$66,2,FALSE),"예산코드 오류"))</x:f>
      </x:c>
      <x:c r="F60" s="85"/>
      <x:c r="G60" s="86" t="str">
        <x:f>IF(F60="","",IFERROR(VLOOKUP(F60,'02_승인예산'!$A$7:$S$66,4,FALSE),"예산코드 오류"))</x:f>
      </x:c>
      <x:c r="H60" s="85"/>
      <x:c r="I60" s="85"/>
      <x:c r="J60" s="85"/>
      <x:c r="K60" s="85"/>
      <x:c r="L60" s="85"/>
      <x:c r="M60" s="95"/>
      <x:c r="N60" s="92"/>
      <x:c r="O60" s="88"/>
      <x:c r="P60" s="85"/>
      <x:c r="Q60" s="89"/>
      <x:c r="R60" s="90" t="str">
        <x:f>IF(OR(O60="",Q60=""),"",O60*Q60*IF(S60="별도",1.1,1))</x:f>
      </x:c>
      <x:c r="S60" s="85"/>
      <x:c r="T60" s="89"/>
      <x:c r="U60" s="89"/>
      <x:c r="V60" s="92"/>
      <x:c r="W60" s="88"/>
      <x:c r="X60" s="89"/>
      <x:c r="Y60" s="90" t="str">
        <x:f>IF(OR(W60="",X60=""),"",W60*X60*IF(S60="별도",1.1,1))</x:f>
      </x:c>
      <x:c r="Z60" s="93"/>
      <x:c r="AA60" s="90" t="str">
        <x:f>IF(OR(R60="",Y60=""),"",R60-Y60)</x:f>
      </x:c>
      <x:c r="AB60" s="90" t="str">
        <x:f>IF($A60="","",IF($B60="취소",0,IF($C60="제외",0,IF($Y60&lt;&gt;"",$Y60,IF($U60&lt;&gt;"",$U60,IF($T60&lt;&gt;"",$T60,$R60))))))</x:f>
      </x:c>
      <x:c r="AC60" s="91"/>
      <x:c r="AD60" s="91"/>
      <x:c r="AE60" s="91"/>
      <x:c r="AF60" s="90" t="str">
        <x:f>IF(AND(AC60="",AD60="",AE60=""),"",SUM(AC60:AE60))</x:f>
      </x:c>
      <x:c r="AG60" s="94"/>
      <x:c r="AH60" s="91" t="str">
        <x:f>IF(Y60="","",Y60-IF(AF60="",0,AF60))</x:f>
      </x:c>
      <x:c r="AI60" s="87"/>
      <x:c r="AJ60" s="87"/>
      <x:c r="AK60" s="87"/>
      <x:c r="AL60" s="87"/>
      <x:c r="AM60" s="87"/>
      <x:c r="AN60" s="85"/>
      <x:c r="AO60" s="85"/>
      <x:c r="AP60" s="85"/>
      <x:c r="AQ60" s="86" t="str">
        <x:f>IF(A60="","",IF(COUNTIF($A$7:$A$156,A60)&gt;1,"ID 중복",IF(F60="","예산 매핑 필요",IF(OR(E60="예산코드 오류",G60="예산코드 오류"),"예산코드 오류",IF(AND(Y60&lt;&gt;"",Z60=""),"구매일 필요",IF(AND(AF60&lt;&gt;"",AG60=""),"지급일 필요",IF(AND(AF60&lt;&gt;"",AN60=""),"증빙ID 필요",IF(OR(Y60&lt;0,AF60&lt;0),"금액 오류",IF(AND(Y60&lt;&gt;"",R60&lt;&gt;"",Y60&gt;R60),"계획 초과","정상")))))))))</x:f>
      </x:c>
    </x:row>
    <x:row r="61" ht="24" customHeight="1">
      <x:c r="A61" s="85"/>
      <x:c r="B61" s="85"/>
      <x:c r="C61" s="85"/>
      <x:c r="D61" s="85"/>
      <x:c r="E61" s="86" t="str">
        <x:f>IF(F61="","",IFERROR(VLOOKUP(F61,'02_승인예산'!$A$7:$S$66,2,FALSE),"예산코드 오류"))</x:f>
      </x:c>
      <x:c r="F61" s="85"/>
      <x:c r="G61" s="86" t="str">
        <x:f>IF(F61="","",IFERROR(VLOOKUP(F61,'02_승인예산'!$A$7:$S$66,4,FALSE),"예산코드 오류"))</x:f>
      </x:c>
      <x:c r="H61" s="85"/>
      <x:c r="I61" s="85"/>
      <x:c r="J61" s="85"/>
      <x:c r="K61" s="85"/>
      <x:c r="L61" s="85"/>
      <x:c r="M61" s="95"/>
      <x:c r="N61" s="92"/>
      <x:c r="O61" s="88"/>
      <x:c r="P61" s="85"/>
      <x:c r="Q61" s="89"/>
      <x:c r="R61" s="90" t="str">
        <x:f>IF(OR(O61="",Q61=""),"",O61*Q61*IF(S61="별도",1.1,1))</x:f>
      </x:c>
      <x:c r="S61" s="85"/>
      <x:c r="T61" s="89"/>
      <x:c r="U61" s="89"/>
      <x:c r="V61" s="92"/>
      <x:c r="W61" s="88"/>
      <x:c r="X61" s="89"/>
      <x:c r="Y61" s="90" t="str">
        <x:f>IF(OR(W61="",X61=""),"",W61*X61*IF(S61="별도",1.1,1))</x:f>
      </x:c>
      <x:c r="Z61" s="93"/>
      <x:c r="AA61" s="90" t="str">
        <x:f>IF(OR(R61="",Y61=""),"",R61-Y61)</x:f>
      </x:c>
      <x:c r="AB61" s="90" t="str">
        <x:f>IF($A61="","",IF($B61="취소",0,IF($C61="제외",0,IF($Y61&lt;&gt;"",$Y61,IF($U61&lt;&gt;"",$U61,IF($T61&lt;&gt;"",$T61,$R61))))))</x:f>
      </x:c>
      <x:c r="AC61" s="91"/>
      <x:c r="AD61" s="91"/>
      <x:c r="AE61" s="91"/>
      <x:c r="AF61" s="90" t="str">
        <x:f>IF(AND(AC61="",AD61="",AE61=""),"",SUM(AC61:AE61))</x:f>
      </x:c>
      <x:c r="AG61" s="94"/>
      <x:c r="AH61" s="91" t="str">
        <x:f>IF(Y61="","",Y61-IF(AF61="",0,AF61))</x:f>
      </x:c>
      <x:c r="AI61" s="87"/>
      <x:c r="AJ61" s="87"/>
      <x:c r="AK61" s="87"/>
      <x:c r="AL61" s="87"/>
      <x:c r="AM61" s="87"/>
      <x:c r="AN61" s="85"/>
      <x:c r="AO61" s="85"/>
      <x:c r="AP61" s="85"/>
      <x:c r="AQ61" s="86" t="str">
        <x:f>IF(A61="","",IF(COUNTIF($A$7:$A$156,A61)&gt;1,"ID 중복",IF(F61="","예산 매핑 필요",IF(OR(E61="예산코드 오류",G61="예산코드 오류"),"예산코드 오류",IF(AND(Y61&lt;&gt;"",Z61=""),"구매일 필요",IF(AND(AF61&lt;&gt;"",AG61=""),"지급일 필요",IF(AND(AF61&lt;&gt;"",AN61=""),"증빙ID 필요",IF(OR(Y61&lt;0,AF61&lt;0),"금액 오류",IF(AND(Y61&lt;&gt;"",R61&lt;&gt;"",Y61&gt;R61),"계획 초과","정상")))))))))</x:f>
      </x:c>
    </x:row>
    <x:row r="62" ht="24" customHeight="1">
      <x:c r="A62" s="85"/>
      <x:c r="B62" s="85"/>
      <x:c r="C62" s="85"/>
      <x:c r="D62" s="85"/>
      <x:c r="E62" s="86" t="str">
        <x:f>IF(F62="","",IFERROR(VLOOKUP(F62,'02_승인예산'!$A$7:$S$66,2,FALSE),"예산코드 오류"))</x:f>
      </x:c>
      <x:c r="F62" s="85"/>
      <x:c r="G62" s="86" t="str">
        <x:f>IF(F62="","",IFERROR(VLOOKUP(F62,'02_승인예산'!$A$7:$S$66,4,FALSE),"예산코드 오류"))</x:f>
      </x:c>
      <x:c r="H62" s="85"/>
      <x:c r="I62" s="85"/>
      <x:c r="J62" s="85"/>
      <x:c r="K62" s="85"/>
      <x:c r="L62" s="85"/>
      <x:c r="M62" s="95"/>
      <x:c r="N62" s="92"/>
      <x:c r="O62" s="88"/>
      <x:c r="P62" s="85"/>
      <x:c r="Q62" s="89"/>
      <x:c r="R62" s="90" t="str">
        <x:f>IF(OR(O62="",Q62=""),"",O62*Q62*IF(S62="별도",1.1,1))</x:f>
      </x:c>
      <x:c r="S62" s="85"/>
      <x:c r="T62" s="89"/>
      <x:c r="U62" s="89"/>
      <x:c r="V62" s="92"/>
      <x:c r="W62" s="88"/>
      <x:c r="X62" s="89"/>
      <x:c r="Y62" s="90" t="str">
        <x:f>IF(OR(W62="",X62=""),"",W62*X62*IF(S62="별도",1.1,1))</x:f>
      </x:c>
      <x:c r="Z62" s="93"/>
      <x:c r="AA62" s="90" t="str">
        <x:f>IF(OR(R62="",Y62=""),"",R62-Y62)</x:f>
      </x:c>
      <x:c r="AB62" s="90" t="str">
        <x:f>IF($A62="","",IF($B62="취소",0,IF($C62="제외",0,IF($Y62&lt;&gt;"",$Y62,IF($U62&lt;&gt;"",$U62,IF($T62&lt;&gt;"",$T62,$R62))))))</x:f>
      </x:c>
      <x:c r="AC62" s="91"/>
      <x:c r="AD62" s="91"/>
      <x:c r="AE62" s="91"/>
      <x:c r="AF62" s="90" t="str">
        <x:f>IF(AND(AC62="",AD62="",AE62=""),"",SUM(AC62:AE62))</x:f>
      </x:c>
      <x:c r="AG62" s="94"/>
      <x:c r="AH62" s="91" t="str">
        <x:f>IF(Y62="","",Y62-IF(AF62="",0,AF62))</x:f>
      </x:c>
      <x:c r="AI62" s="87"/>
      <x:c r="AJ62" s="87"/>
      <x:c r="AK62" s="87"/>
      <x:c r="AL62" s="87"/>
      <x:c r="AM62" s="87"/>
      <x:c r="AN62" s="85"/>
      <x:c r="AO62" s="85"/>
      <x:c r="AP62" s="85"/>
      <x:c r="AQ62" s="86" t="str">
        <x:f>IF(A62="","",IF(COUNTIF($A$7:$A$156,A62)&gt;1,"ID 중복",IF(F62="","예산 매핑 필요",IF(OR(E62="예산코드 오류",G62="예산코드 오류"),"예산코드 오류",IF(AND(Y62&lt;&gt;"",Z62=""),"구매일 필요",IF(AND(AF62&lt;&gt;"",AG62=""),"지급일 필요",IF(AND(AF62&lt;&gt;"",AN62=""),"증빙ID 필요",IF(OR(Y62&lt;0,AF62&lt;0),"금액 오류",IF(AND(Y62&lt;&gt;"",R62&lt;&gt;"",Y62&gt;R62),"계획 초과","정상")))))))))</x:f>
      </x:c>
    </x:row>
    <x:row r="63" ht="24" customHeight="1">
      <x:c r="A63" s="85"/>
      <x:c r="B63" s="85"/>
      <x:c r="C63" s="85"/>
      <x:c r="D63" s="85"/>
      <x:c r="E63" s="86" t="str">
        <x:f>IF(F63="","",IFERROR(VLOOKUP(F63,'02_승인예산'!$A$7:$S$66,2,FALSE),"예산코드 오류"))</x:f>
      </x:c>
      <x:c r="F63" s="85"/>
      <x:c r="G63" s="86" t="str">
        <x:f>IF(F63="","",IFERROR(VLOOKUP(F63,'02_승인예산'!$A$7:$S$66,4,FALSE),"예산코드 오류"))</x:f>
      </x:c>
      <x:c r="H63" s="85"/>
      <x:c r="I63" s="85"/>
      <x:c r="J63" s="85"/>
      <x:c r="K63" s="85"/>
      <x:c r="L63" s="85"/>
      <x:c r="M63" s="95"/>
      <x:c r="N63" s="92"/>
      <x:c r="O63" s="88"/>
      <x:c r="P63" s="85"/>
      <x:c r="Q63" s="89"/>
      <x:c r="R63" s="90" t="str">
        <x:f>IF(OR(O63="",Q63=""),"",O63*Q63*IF(S63="별도",1.1,1))</x:f>
      </x:c>
      <x:c r="S63" s="85"/>
      <x:c r="T63" s="89"/>
      <x:c r="U63" s="89"/>
      <x:c r="V63" s="92"/>
      <x:c r="W63" s="88"/>
      <x:c r="X63" s="89"/>
      <x:c r="Y63" s="90" t="str">
        <x:f>IF(OR(W63="",X63=""),"",W63*X63*IF(S63="별도",1.1,1))</x:f>
      </x:c>
      <x:c r="Z63" s="93"/>
      <x:c r="AA63" s="90" t="str">
        <x:f>IF(OR(R63="",Y63=""),"",R63-Y63)</x:f>
      </x:c>
      <x:c r="AB63" s="90" t="str">
        <x:f>IF($A63="","",IF($B63="취소",0,IF($C63="제외",0,IF($Y63&lt;&gt;"",$Y63,IF($U63&lt;&gt;"",$U63,IF($T63&lt;&gt;"",$T63,$R63))))))</x:f>
      </x:c>
      <x:c r="AC63" s="91"/>
      <x:c r="AD63" s="91"/>
      <x:c r="AE63" s="91"/>
      <x:c r="AF63" s="90" t="str">
        <x:f>IF(AND(AC63="",AD63="",AE63=""),"",SUM(AC63:AE63))</x:f>
      </x:c>
      <x:c r="AG63" s="94"/>
      <x:c r="AH63" s="91" t="str">
        <x:f>IF(Y63="","",Y63-IF(AF63="",0,AF63))</x:f>
      </x:c>
      <x:c r="AI63" s="87"/>
      <x:c r="AJ63" s="87"/>
      <x:c r="AK63" s="87"/>
      <x:c r="AL63" s="87"/>
      <x:c r="AM63" s="87"/>
      <x:c r="AN63" s="85"/>
      <x:c r="AO63" s="85"/>
      <x:c r="AP63" s="85"/>
      <x:c r="AQ63" s="86" t="str">
        <x:f>IF(A63="","",IF(COUNTIF($A$7:$A$156,A63)&gt;1,"ID 중복",IF(F63="","예산 매핑 필요",IF(OR(E63="예산코드 오류",G63="예산코드 오류"),"예산코드 오류",IF(AND(Y63&lt;&gt;"",Z63=""),"구매일 필요",IF(AND(AF63&lt;&gt;"",AG63=""),"지급일 필요",IF(AND(AF63&lt;&gt;"",AN63=""),"증빙ID 필요",IF(OR(Y63&lt;0,AF63&lt;0),"금액 오류",IF(AND(Y63&lt;&gt;"",R63&lt;&gt;"",Y63&gt;R63),"계획 초과","정상")))))))))</x:f>
      </x:c>
    </x:row>
    <x:row r="64" ht="24" customHeight="1">
      <x:c r="A64" s="85"/>
      <x:c r="B64" s="85"/>
      <x:c r="C64" s="85"/>
      <x:c r="D64" s="85"/>
      <x:c r="E64" s="86" t="str">
        <x:f>IF(F64="","",IFERROR(VLOOKUP(F64,'02_승인예산'!$A$7:$S$66,2,FALSE),"예산코드 오류"))</x:f>
      </x:c>
      <x:c r="F64" s="85"/>
      <x:c r="G64" s="86" t="str">
        <x:f>IF(F64="","",IFERROR(VLOOKUP(F64,'02_승인예산'!$A$7:$S$66,4,FALSE),"예산코드 오류"))</x:f>
      </x:c>
      <x:c r="H64" s="85"/>
      <x:c r="I64" s="85"/>
      <x:c r="J64" s="85"/>
      <x:c r="K64" s="85"/>
      <x:c r="L64" s="85"/>
      <x:c r="M64" s="95"/>
      <x:c r="N64" s="92"/>
      <x:c r="O64" s="88"/>
      <x:c r="P64" s="85"/>
      <x:c r="Q64" s="89"/>
      <x:c r="R64" s="90" t="str">
        <x:f>IF(OR(O64="",Q64=""),"",O64*Q64*IF(S64="별도",1.1,1))</x:f>
      </x:c>
      <x:c r="S64" s="85"/>
      <x:c r="T64" s="89"/>
      <x:c r="U64" s="89"/>
      <x:c r="V64" s="92"/>
      <x:c r="W64" s="88"/>
      <x:c r="X64" s="89"/>
      <x:c r="Y64" s="90" t="str">
        <x:f>IF(OR(W64="",X64=""),"",W64*X64*IF(S64="별도",1.1,1))</x:f>
      </x:c>
      <x:c r="Z64" s="93"/>
      <x:c r="AA64" s="90" t="str">
        <x:f>IF(OR(R64="",Y64=""),"",R64-Y64)</x:f>
      </x:c>
      <x:c r="AB64" s="90" t="str">
        <x:f>IF($A64="","",IF($B64="취소",0,IF($C64="제외",0,IF($Y64&lt;&gt;"",$Y64,IF($U64&lt;&gt;"",$U64,IF($T64&lt;&gt;"",$T64,$R64))))))</x:f>
      </x:c>
      <x:c r="AC64" s="91"/>
      <x:c r="AD64" s="91"/>
      <x:c r="AE64" s="91"/>
      <x:c r="AF64" s="90" t="str">
        <x:f>IF(AND(AC64="",AD64="",AE64=""),"",SUM(AC64:AE64))</x:f>
      </x:c>
      <x:c r="AG64" s="94"/>
      <x:c r="AH64" s="91" t="str">
        <x:f>IF(Y64="","",Y64-IF(AF64="",0,AF64))</x:f>
      </x:c>
      <x:c r="AI64" s="87"/>
      <x:c r="AJ64" s="87"/>
      <x:c r="AK64" s="87"/>
      <x:c r="AL64" s="87"/>
      <x:c r="AM64" s="87"/>
      <x:c r="AN64" s="85"/>
      <x:c r="AO64" s="85"/>
      <x:c r="AP64" s="85"/>
      <x:c r="AQ64" s="86" t="str">
        <x:f>IF(A64="","",IF(COUNTIF($A$7:$A$156,A64)&gt;1,"ID 중복",IF(F64="","예산 매핑 필요",IF(OR(E64="예산코드 오류",G64="예산코드 오류"),"예산코드 오류",IF(AND(Y64&lt;&gt;"",Z64=""),"구매일 필요",IF(AND(AF64&lt;&gt;"",AG64=""),"지급일 필요",IF(AND(AF64&lt;&gt;"",AN64=""),"증빙ID 필요",IF(OR(Y64&lt;0,AF64&lt;0),"금액 오류",IF(AND(Y64&lt;&gt;"",R64&lt;&gt;"",Y64&gt;R64),"계획 초과","정상")))))))))</x:f>
      </x:c>
    </x:row>
    <x:row r="65" ht="24" customHeight="1">
      <x:c r="A65" s="85"/>
      <x:c r="B65" s="85"/>
      <x:c r="C65" s="85"/>
      <x:c r="D65" s="85"/>
      <x:c r="E65" s="86" t="str">
        <x:f>IF(F65="","",IFERROR(VLOOKUP(F65,'02_승인예산'!$A$7:$S$66,2,FALSE),"예산코드 오류"))</x:f>
      </x:c>
      <x:c r="F65" s="85"/>
      <x:c r="G65" s="86" t="str">
        <x:f>IF(F65="","",IFERROR(VLOOKUP(F65,'02_승인예산'!$A$7:$S$66,4,FALSE),"예산코드 오류"))</x:f>
      </x:c>
      <x:c r="H65" s="85"/>
      <x:c r="I65" s="85"/>
      <x:c r="J65" s="85"/>
      <x:c r="K65" s="85"/>
      <x:c r="L65" s="85"/>
      <x:c r="M65" s="95"/>
      <x:c r="N65" s="92"/>
      <x:c r="O65" s="88"/>
      <x:c r="P65" s="85"/>
      <x:c r="Q65" s="89"/>
      <x:c r="R65" s="90" t="str">
        <x:f>IF(OR(O65="",Q65=""),"",O65*Q65*IF(S65="별도",1.1,1))</x:f>
      </x:c>
      <x:c r="S65" s="85"/>
      <x:c r="T65" s="89"/>
      <x:c r="U65" s="89"/>
      <x:c r="V65" s="92"/>
      <x:c r="W65" s="88"/>
      <x:c r="X65" s="89"/>
      <x:c r="Y65" s="90" t="str">
        <x:f>IF(OR(W65="",X65=""),"",W65*X65*IF(S65="별도",1.1,1))</x:f>
      </x:c>
      <x:c r="Z65" s="93"/>
      <x:c r="AA65" s="90" t="str">
        <x:f>IF(OR(R65="",Y65=""),"",R65-Y65)</x:f>
      </x:c>
      <x:c r="AB65" s="90" t="str">
        <x:f>IF($A65="","",IF($B65="취소",0,IF($C65="제외",0,IF($Y65&lt;&gt;"",$Y65,IF($U65&lt;&gt;"",$U65,IF($T65&lt;&gt;"",$T65,$R65))))))</x:f>
      </x:c>
      <x:c r="AC65" s="91"/>
      <x:c r="AD65" s="91"/>
      <x:c r="AE65" s="91"/>
      <x:c r="AF65" s="90" t="str">
        <x:f>IF(AND(AC65="",AD65="",AE65=""),"",SUM(AC65:AE65))</x:f>
      </x:c>
      <x:c r="AG65" s="94"/>
      <x:c r="AH65" s="91" t="str">
        <x:f>IF(Y65="","",Y65-IF(AF65="",0,AF65))</x:f>
      </x:c>
      <x:c r="AI65" s="87"/>
      <x:c r="AJ65" s="87"/>
      <x:c r="AK65" s="87"/>
      <x:c r="AL65" s="87"/>
      <x:c r="AM65" s="87"/>
      <x:c r="AN65" s="85"/>
      <x:c r="AO65" s="85"/>
      <x:c r="AP65" s="85"/>
      <x:c r="AQ65" s="86" t="str">
        <x:f>IF(A65="","",IF(COUNTIF($A$7:$A$156,A65)&gt;1,"ID 중복",IF(F65="","예산 매핑 필요",IF(OR(E65="예산코드 오류",G65="예산코드 오류"),"예산코드 오류",IF(AND(Y65&lt;&gt;"",Z65=""),"구매일 필요",IF(AND(AF65&lt;&gt;"",AG65=""),"지급일 필요",IF(AND(AF65&lt;&gt;"",AN65=""),"증빙ID 필요",IF(OR(Y65&lt;0,AF65&lt;0),"금액 오류",IF(AND(Y65&lt;&gt;"",R65&lt;&gt;"",Y65&gt;R65),"계획 초과","정상")))))))))</x:f>
      </x:c>
    </x:row>
    <x:row r="66" ht="24" customHeight="1">
      <x:c r="A66" s="85"/>
      <x:c r="B66" s="85"/>
      <x:c r="C66" s="85"/>
      <x:c r="D66" s="85"/>
      <x:c r="E66" s="86" t="str">
        <x:f>IF(F66="","",IFERROR(VLOOKUP(F66,'02_승인예산'!$A$7:$S$66,2,FALSE),"예산코드 오류"))</x:f>
      </x:c>
      <x:c r="F66" s="85"/>
      <x:c r="G66" s="86" t="str">
        <x:f>IF(F66="","",IFERROR(VLOOKUP(F66,'02_승인예산'!$A$7:$S$66,4,FALSE),"예산코드 오류"))</x:f>
      </x:c>
      <x:c r="H66" s="85"/>
      <x:c r="I66" s="85"/>
      <x:c r="J66" s="85"/>
      <x:c r="K66" s="85"/>
      <x:c r="L66" s="85"/>
      <x:c r="M66" s="95"/>
      <x:c r="N66" s="92"/>
      <x:c r="O66" s="88"/>
      <x:c r="P66" s="85"/>
      <x:c r="Q66" s="89"/>
      <x:c r="R66" s="90" t="str">
        <x:f>IF(OR(O66="",Q66=""),"",O66*Q66*IF(S66="별도",1.1,1))</x:f>
      </x:c>
      <x:c r="S66" s="85"/>
      <x:c r="T66" s="89"/>
      <x:c r="U66" s="89"/>
      <x:c r="V66" s="92"/>
      <x:c r="W66" s="88"/>
      <x:c r="X66" s="89"/>
      <x:c r="Y66" s="90" t="str">
        <x:f>IF(OR(W66="",X66=""),"",W66*X66*IF(S66="별도",1.1,1))</x:f>
      </x:c>
      <x:c r="Z66" s="93"/>
      <x:c r="AA66" s="90" t="str">
        <x:f>IF(OR(R66="",Y66=""),"",R66-Y66)</x:f>
      </x:c>
      <x:c r="AB66" s="90" t="str">
        <x:f>IF($A66="","",IF($B66="취소",0,IF($C66="제외",0,IF($Y66&lt;&gt;"",$Y66,IF($U66&lt;&gt;"",$U66,IF($T66&lt;&gt;"",$T66,$R66))))))</x:f>
      </x:c>
      <x:c r="AC66" s="91"/>
      <x:c r="AD66" s="91"/>
      <x:c r="AE66" s="91"/>
      <x:c r="AF66" s="90" t="str">
        <x:f>IF(AND(AC66="",AD66="",AE66=""),"",SUM(AC66:AE66))</x:f>
      </x:c>
      <x:c r="AG66" s="94"/>
      <x:c r="AH66" s="91" t="str">
        <x:f>IF(Y66="","",Y66-IF(AF66="",0,AF66))</x:f>
      </x:c>
      <x:c r="AI66" s="87"/>
      <x:c r="AJ66" s="87"/>
      <x:c r="AK66" s="87"/>
      <x:c r="AL66" s="87"/>
      <x:c r="AM66" s="87"/>
      <x:c r="AN66" s="85"/>
      <x:c r="AO66" s="85"/>
      <x:c r="AP66" s="85"/>
      <x:c r="AQ66" s="86" t="str">
        <x:f>IF(A66="","",IF(COUNTIF($A$7:$A$156,A66)&gt;1,"ID 중복",IF(F66="","예산 매핑 필요",IF(OR(E66="예산코드 오류",G66="예산코드 오류"),"예산코드 오류",IF(AND(Y66&lt;&gt;"",Z66=""),"구매일 필요",IF(AND(AF66&lt;&gt;"",AG66=""),"지급일 필요",IF(AND(AF66&lt;&gt;"",AN66=""),"증빙ID 필요",IF(OR(Y66&lt;0,AF66&lt;0),"금액 오류",IF(AND(Y66&lt;&gt;"",R66&lt;&gt;"",Y66&gt;R66),"계획 초과","정상")))))))))</x:f>
      </x:c>
    </x:row>
    <x:row r="67" ht="24" customHeight="1">
      <x:c r="A67" s="85"/>
      <x:c r="B67" s="85"/>
      <x:c r="C67" s="85"/>
      <x:c r="D67" s="85"/>
      <x:c r="E67" s="86" t="str">
        <x:f>IF(F67="","",IFERROR(VLOOKUP(F67,'02_승인예산'!$A$7:$S$66,2,FALSE),"예산코드 오류"))</x:f>
      </x:c>
      <x:c r="F67" s="85"/>
      <x:c r="G67" s="86" t="str">
        <x:f>IF(F67="","",IFERROR(VLOOKUP(F67,'02_승인예산'!$A$7:$S$66,4,FALSE),"예산코드 오류"))</x:f>
      </x:c>
      <x:c r="H67" s="85"/>
      <x:c r="I67" s="85"/>
      <x:c r="J67" s="85"/>
      <x:c r="K67" s="85"/>
      <x:c r="L67" s="85"/>
      <x:c r="M67" s="95"/>
      <x:c r="N67" s="92"/>
      <x:c r="O67" s="88"/>
      <x:c r="P67" s="85"/>
      <x:c r="Q67" s="89"/>
      <x:c r="R67" s="90" t="str">
        <x:f>IF(OR(O67="",Q67=""),"",O67*Q67*IF(S67="별도",1.1,1))</x:f>
      </x:c>
      <x:c r="S67" s="85"/>
      <x:c r="T67" s="89"/>
      <x:c r="U67" s="89"/>
      <x:c r="V67" s="92"/>
      <x:c r="W67" s="88"/>
      <x:c r="X67" s="89"/>
      <x:c r="Y67" s="90" t="str">
        <x:f>IF(OR(W67="",X67=""),"",W67*X67*IF(S67="별도",1.1,1))</x:f>
      </x:c>
      <x:c r="Z67" s="93"/>
      <x:c r="AA67" s="90" t="str">
        <x:f>IF(OR(R67="",Y67=""),"",R67-Y67)</x:f>
      </x:c>
      <x:c r="AB67" s="90" t="str">
        <x:f>IF($A67="","",IF($B67="취소",0,IF($C67="제외",0,IF($Y67&lt;&gt;"",$Y67,IF($U67&lt;&gt;"",$U67,IF($T67&lt;&gt;"",$T67,$R67))))))</x:f>
      </x:c>
      <x:c r="AC67" s="91"/>
      <x:c r="AD67" s="91"/>
      <x:c r="AE67" s="91"/>
      <x:c r="AF67" s="90" t="str">
        <x:f>IF(AND(AC67="",AD67="",AE67=""),"",SUM(AC67:AE67))</x:f>
      </x:c>
      <x:c r="AG67" s="94"/>
      <x:c r="AH67" s="91" t="str">
        <x:f>IF(Y67="","",Y67-IF(AF67="",0,AF67))</x:f>
      </x:c>
      <x:c r="AI67" s="87"/>
      <x:c r="AJ67" s="87"/>
      <x:c r="AK67" s="87"/>
      <x:c r="AL67" s="87"/>
      <x:c r="AM67" s="87"/>
      <x:c r="AN67" s="85"/>
      <x:c r="AO67" s="85"/>
      <x:c r="AP67" s="85"/>
      <x:c r="AQ67" s="86" t="str">
        <x:f>IF(A67="","",IF(COUNTIF($A$7:$A$156,A67)&gt;1,"ID 중복",IF(F67="","예산 매핑 필요",IF(OR(E67="예산코드 오류",G67="예산코드 오류"),"예산코드 오류",IF(AND(Y67&lt;&gt;"",Z67=""),"구매일 필요",IF(AND(AF67&lt;&gt;"",AG67=""),"지급일 필요",IF(AND(AF67&lt;&gt;"",AN67=""),"증빙ID 필요",IF(OR(Y67&lt;0,AF67&lt;0),"금액 오류",IF(AND(Y67&lt;&gt;"",R67&lt;&gt;"",Y67&gt;R67),"계획 초과","정상")))))))))</x:f>
      </x:c>
    </x:row>
    <x:row r="68" ht="24" customHeight="1">
      <x:c r="A68" s="85"/>
      <x:c r="B68" s="85"/>
      <x:c r="C68" s="85"/>
      <x:c r="D68" s="85"/>
      <x:c r="E68" s="86" t="str">
        <x:f>IF(F68="","",IFERROR(VLOOKUP(F68,'02_승인예산'!$A$7:$S$66,2,FALSE),"예산코드 오류"))</x:f>
      </x:c>
      <x:c r="F68" s="85"/>
      <x:c r="G68" s="86" t="str">
        <x:f>IF(F68="","",IFERROR(VLOOKUP(F68,'02_승인예산'!$A$7:$S$66,4,FALSE),"예산코드 오류"))</x:f>
      </x:c>
      <x:c r="H68" s="85"/>
      <x:c r="I68" s="85"/>
      <x:c r="J68" s="85"/>
      <x:c r="K68" s="85"/>
      <x:c r="L68" s="85"/>
      <x:c r="M68" s="95"/>
      <x:c r="N68" s="92"/>
      <x:c r="O68" s="88"/>
      <x:c r="P68" s="85"/>
      <x:c r="Q68" s="89"/>
      <x:c r="R68" s="90" t="str">
        <x:f>IF(OR(O68="",Q68=""),"",O68*Q68*IF(S68="별도",1.1,1))</x:f>
      </x:c>
      <x:c r="S68" s="85"/>
      <x:c r="T68" s="89"/>
      <x:c r="U68" s="89"/>
      <x:c r="V68" s="92"/>
      <x:c r="W68" s="88"/>
      <x:c r="X68" s="89"/>
      <x:c r="Y68" s="90" t="str">
        <x:f>IF(OR(W68="",X68=""),"",W68*X68*IF(S68="별도",1.1,1))</x:f>
      </x:c>
      <x:c r="Z68" s="93"/>
      <x:c r="AA68" s="90" t="str">
        <x:f>IF(OR(R68="",Y68=""),"",R68-Y68)</x:f>
      </x:c>
      <x:c r="AB68" s="90" t="str">
        <x:f>IF($A68="","",IF($B68="취소",0,IF($C68="제외",0,IF($Y68&lt;&gt;"",$Y68,IF($U68&lt;&gt;"",$U68,IF($T68&lt;&gt;"",$T68,$R68))))))</x:f>
      </x:c>
      <x:c r="AC68" s="91"/>
      <x:c r="AD68" s="91"/>
      <x:c r="AE68" s="91"/>
      <x:c r="AF68" s="90" t="str">
        <x:f>IF(AND(AC68="",AD68="",AE68=""),"",SUM(AC68:AE68))</x:f>
      </x:c>
      <x:c r="AG68" s="94"/>
      <x:c r="AH68" s="91" t="str">
        <x:f>IF(Y68="","",Y68-IF(AF68="",0,AF68))</x:f>
      </x:c>
      <x:c r="AI68" s="87"/>
      <x:c r="AJ68" s="87"/>
      <x:c r="AK68" s="87"/>
      <x:c r="AL68" s="87"/>
      <x:c r="AM68" s="87"/>
      <x:c r="AN68" s="85"/>
      <x:c r="AO68" s="85"/>
      <x:c r="AP68" s="85"/>
      <x:c r="AQ68" s="86" t="str">
        <x:f>IF(A68="","",IF(COUNTIF($A$7:$A$156,A68)&gt;1,"ID 중복",IF(F68="","예산 매핑 필요",IF(OR(E68="예산코드 오류",G68="예산코드 오류"),"예산코드 오류",IF(AND(Y68&lt;&gt;"",Z68=""),"구매일 필요",IF(AND(AF68&lt;&gt;"",AG68=""),"지급일 필요",IF(AND(AF68&lt;&gt;"",AN68=""),"증빙ID 필요",IF(OR(Y68&lt;0,AF68&lt;0),"금액 오류",IF(AND(Y68&lt;&gt;"",R68&lt;&gt;"",Y68&gt;R68),"계획 초과","정상")))))))))</x:f>
      </x:c>
    </x:row>
    <x:row r="69" ht="24" customHeight="1">
      <x:c r="A69" s="85"/>
      <x:c r="B69" s="85"/>
      <x:c r="C69" s="85"/>
      <x:c r="D69" s="85"/>
      <x:c r="E69" s="86" t="str">
        <x:f>IF(F69="","",IFERROR(VLOOKUP(F69,'02_승인예산'!$A$7:$S$66,2,FALSE),"예산코드 오류"))</x:f>
      </x:c>
      <x:c r="F69" s="85"/>
      <x:c r="G69" s="86" t="str">
        <x:f>IF(F69="","",IFERROR(VLOOKUP(F69,'02_승인예산'!$A$7:$S$66,4,FALSE),"예산코드 오류"))</x:f>
      </x:c>
      <x:c r="H69" s="85"/>
      <x:c r="I69" s="85"/>
      <x:c r="J69" s="85"/>
      <x:c r="K69" s="85"/>
      <x:c r="L69" s="85"/>
      <x:c r="M69" s="95"/>
      <x:c r="N69" s="92"/>
      <x:c r="O69" s="88"/>
      <x:c r="P69" s="85"/>
      <x:c r="Q69" s="89"/>
      <x:c r="R69" s="90" t="str">
        <x:f>IF(OR(O69="",Q69=""),"",O69*Q69*IF(S69="별도",1.1,1))</x:f>
      </x:c>
      <x:c r="S69" s="85"/>
      <x:c r="T69" s="89"/>
      <x:c r="U69" s="89"/>
      <x:c r="V69" s="92"/>
      <x:c r="W69" s="88"/>
      <x:c r="X69" s="89"/>
      <x:c r="Y69" s="90" t="str">
        <x:f>IF(OR(W69="",X69=""),"",W69*X69*IF(S69="별도",1.1,1))</x:f>
      </x:c>
      <x:c r="Z69" s="93"/>
      <x:c r="AA69" s="90" t="str">
        <x:f>IF(OR(R69="",Y69=""),"",R69-Y69)</x:f>
      </x:c>
      <x:c r="AB69" s="90" t="str">
        <x:f>IF($A69="","",IF($B69="취소",0,IF($C69="제외",0,IF($Y69&lt;&gt;"",$Y69,IF($U69&lt;&gt;"",$U69,IF($T69&lt;&gt;"",$T69,$R69))))))</x:f>
      </x:c>
      <x:c r="AC69" s="91"/>
      <x:c r="AD69" s="91"/>
      <x:c r="AE69" s="91"/>
      <x:c r="AF69" s="90" t="str">
        <x:f>IF(AND(AC69="",AD69="",AE69=""),"",SUM(AC69:AE69))</x:f>
      </x:c>
      <x:c r="AG69" s="94"/>
      <x:c r="AH69" s="91" t="str">
        <x:f>IF(Y69="","",Y69-IF(AF69="",0,AF69))</x:f>
      </x:c>
      <x:c r="AI69" s="87"/>
      <x:c r="AJ69" s="87"/>
      <x:c r="AK69" s="87"/>
      <x:c r="AL69" s="87"/>
      <x:c r="AM69" s="87"/>
      <x:c r="AN69" s="85"/>
      <x:c r="AO69" s="85"/>
      <x:c r="AP69" s="85"/>
      <x:c r="AQ69" s="86" t="str">
        <x:f>IF(A69="","",IF(COUNTIF($A$7:$A$156,A69)&gt;1,"ID 중복",IF(F69="","예산 매핑 필요",IF(OR(E69="예산코드 오류",G69="예산코드 오류"),"예산코드 오류",IF(AND(Y69&lt;&gt;"",Z69=""),"구매일 필요",IF(AND(AF69&lt;&gt;"",AG69=""),"지급일 필요",IF(AND(AF69&lt;&gt;"",AN69=""),"증빙ID 필요",IF(OR(Y69&lt;0,AF69&lt;0),"금액 오류",IF(AND(Y69&lt;&gt;"",R69&lt;&gt;"",Y69&gt;R69),"계획 초과","정상")))))))))</x:f>
      </x:c>
    </x:row>
    <x:row r="70" ht="24" customHeight="1">
      <x:c r="A70" s="85"/>
      <x:c r="B70" s="85"/>
      <x:c r="C70" s="85"/>
      <x:c r="D70" s="85"/>
      <x:c r="E70" s="86" t="str">
        <x:f>IF(F70="","",IFERROR(VLOOKUP(F70,'02_승인예산'!$A$7:$S$66,2,FALSE),"예산코드 오류"))</x:f>
      </x:c>
      <x:c r="F70" s="85"/>
      <x:c r="G70" s="86" t="str">
        <x:f>IF(F70="","",IFERROR(VLOOKUP(F70,'02_승인예산'!$A$7:$S$66,4,FALSE),"예산코드 오류"))</x:f>
      </x:c>
      <x:c r="H70" s="85"/>
      <x:c r="I70" s="85"/>
      <x:c r="J70" s="85"/>
      <x:c r="K70" s="85"/>
      <x:c r="L70" s="85"/>
      <x:c r="M70" s="95"/>
      <x:c r="N70" s="92"/>
      <x:c r="O70" s="88"/>
      <x:c r="P70" s="85"/>
      <x:c r="Q70" s="89"/>
      <x:c r="R70" s="90" t="str">
        <x:f>IF(OR(O70="",Q70=""),"",O70*Q70*IF(S70="별도",1.1,1))</x:f>
      </x:c>
      <x:c r="S70" s="85"/>
      <x:c r="T70" s="89"/>
      <x:c r="U70" s="89"/>
      <x:c r="V70" s="92"/>
      <x:c r="W70" s="88"/>
      <x:c r="X70" s="89"/>
      <x:c r="Y70" s="90" t="str">
        <x:f>IF(OR(W70="",X70=""),"",W70*X70*IF(S70="별도",1.1,1))</x:f>
      </x:c>
      <x:c r="Z70" s="93"/>
      <x:c r="AA70" s="90" t="str">
        <x:f>IF(OR(R70="",Y70=""),"",R70-Y70)</x:f>
      </x:c>
      <x:c r="AB70" s="90" t="str">
        <x:f>IF($A70="","",IF($B70="취소",0,IF($C70="제외",0,IF($Y70&lt;&gt;"",$Y70,IF($U70&lt;&gt;"",$U70,IF($T70&lt;&gt;"",$T70,$R70))))))</x:f>
      </x:c>
      <x:c r="AC70" s="91"/>
      <x:c r="AD70" s="91"/>
      <x:c r="AE70" s="91"/>
      <x:c r="AF70" s="90" t="str">
        <x:f>IF(AND(AC70="",AD70="",AE70=""),"",SUM(AC70:AE70))</x:f>
      </x:c>
      <x:c r="AG70" s="94"/>
      <x:c r="AH70" s="91" t="str">
        <x:f>IF(Y70="","",Y70-IF(AF70="",0,AF70))</x:f>
      </x:c>
      <x:c r="AI70" s="87"/>
      <x:c r="AJ70" s="87"/>
      <x:c r="AK70" s="87"/>
      <x:c r="AL70" s="87"/>
      <x:c r="AM70" s="87"/>
      <x:c r="AN70" s="85"/>
      <x:c r="AO70" s="85"/>
      <x:c r="AP70" s="85"/>
      <x:c r="AQ70" s="86" t="str">
        <x:f>IF(A70="","",IF(COUNTIF($A$7:$A$156,A70)&gt;1,"ID 중복",IF(F70="","예산 매핑 필요",IF(OR(E70="예산코드 오류",G70="예산코드 오류"),"예산코드 오류",IF(AND(Y70&lt;&gt;"",Z70=""),"구매일 필요",IF(AND(AF70&lt;&gt;"",AG70=""),"지급일 필요",IF(AND(AF70&lt;&gt;"",AN70=""),"증빙ID 필요",IF(OR(Y70&lt;0,AF70&lt;0),"금액 오류",IF(AND(Y70&lt;&gt;"",R70&lt;&gt;"",Y70&gt;R70),"계획 초과","정상")))))))))</x:f>
      </x:c>
    </x:row>
    <x:row r="71" ht="24" customHeight="1">
      <x:c r="A71" s="85"/>
      <x:c r="B71" s="85"/>
      <x:c r="C71" s="85"/>
      <x:c r="D71" s="85"/>
      <x:c r="E71" s="86" t="str">
        <x:f>IF(F71="","",IFERROR(VLOOKUP(F71,'02_승인예산'!$A$7:$S$66,2,FALSE),"예산코드 오류"))</x:f>
      </x:c>
      <x:c r="F71" s="85"/>
      <x:c r="G71" s="86" t="str">
        <x:f>IF(F71="","",IFERROR(VLOOKUP(F71,'02_승인예산'!$A$7:$S$66,4,FALSE),"예산코드 오류"))</x:f>
      </x:c>
      <x:c r="H71" s="85"/>
      <x:c r="I71" s="85"/>
      <x:c r="J71" s="85"/>
      <x:c r="K71" s="85"/>
      <x:c r="L71" s="85"/>
      <x:c r="M71" s="95"/>
      <x:c r="N71" s="92"/>
      <x:c r="O71" s="88"/>
      <x:c r="P71" s="85"/>
      <x:c r="Q71" s="89"/>
      <x:c r="R71" s="90" t="str">
        <x:f>IF(OR(O71="",Q71=""),"",O71*Q71*IF(S71="별도",1.1,1))</x:f>
      </x:c>
      <x:c r="S71" s="85"/>
      <x:c r="T71" s="89"/>
      <x:c r="U71" s="89"/>
      <x:c r="V71" s="92"/>
      <x:c r="W71" s="88"/>
      <x:c r="X71" s="89"/>
      <x:c r="Y71" s="90" t="str">
        <x:f>IF(OR(W71="",X71=""),"",W71*X71*IF(S71="별도",1.1,1))</x:f>
      </x:c>
      <x:c r="Z71" s="93"/>
      <x:c r="AA71" s="90" t="str">
        <x:f>IF(OR(R71="",Y71=""),"",R71-Y71)</x:f>
      </x:c>
      <x:c r="AB71" s="90" t="str">
        <x:f>IF($A71="","",IF($B71="취소",0,IF($C71="제외",0,IF($Y71&lt;&gt;"",$Y71,IF($U71&lt;&gt;"",$U71,IF($T71&lt;&gt;"",$T71,$R71))))))</x:f>
      </x:c>
      <x:c r="AC71" s="91"/>
      <x:c r="AD71" s="91"/>
      <x:c r="AE71" s="91"/>
      <x:c r="AF71" s="90" t="str">
        <x:f>IF(AND(AC71="",AD71="",AE71=""),"",SUM(AC71:AE71))</x:f>
      </x:c>
      <x:c r="AG71" s="94"/>
      <x:c r="AH71" s="91" t="str">
        <x:f>IF(Y71="","",Y71-IF(AF71="",0,AF71))</x:f>
      </x:c>
      <x:c r="AI71" s="87"/>
      <x:c r="AJ71" s="87"/>
      <x:c r="AK71" s="87"/>
      <x:c r="AL71" s="87"/>
      <x:c r="AM71" s="87"/>
      <x:c r="AN71" s="85"/>
      <x:c r="AO71" s="85"/>
      <x:c r="AP71" s="85"/>
      <x:c r="AQ71" s="86" t="str">
        <x:f>IF(A71="","",IF(COUNTIF($A$7:$A$156,A71)&gt;1,"ID 중복",IF(F71="","예산 매핑 필요",IF(OR(E71="예산코드 오류",G71="예산코드 오류"),"예산코드 오류",IF(AND(Y71&lt;&gt;"",Z71=""),"구매일 필요",IF(AND(AF71&lt;&gt;"",AG71=""),"지급일 필요",IF(AND(AF71&lt;&gt;"",AN71=""),"증빙ID 필요",IF(OR(Y71&lt;0,AF71&lt;0),"금액 오류",IF(AND(Y71&lt;&gt;"",R71&lt;&gt;"",Y71&gt;R71),"계획 초과","정상")))))))))</x:f>
      </x:c>
    </x:row>
    <x:row r="72" ht="24" customHeight="1">
      <x:c r="A72" s="85"/>
      <x:c r="B72" s="85"/>
      <x:c r="C72" s="85"/>
      <x:c r="D72" s="85"/>
      <x:c r="E72" s="86" t="str">
        <x:f>IF(F72="","",IFERROR(VLOOKUP(F72,'02_승인예산'!$A$7:$S$66,2,FALSE),"예산코드 오류"))</x:f>
      </x:c>
      <x:c r="F72" s="85"/>
      <x:c r="G72" s="86" t="str">
        <x:f>IF(F72="","",IFERROR(VLOOKUP(F72,'02_승인예산'!$A$7:$S$66,4,FALSE),"예산코드 오류"))</x:f>
      </x:c>
      <x:c r="H72" s="85"/>
      <x:c r="I72" s="85"/>
      <x:c r="J72" s="85"/>
      <x:c r="K72" s="85"/>
      <x:c r="L72" s="85"/>
      <x:c r="M72" s="95"/>
      <x:c r="N72" s="92"/>
      <x:c r="O72" s="88"/>
      <x:c r="P72" s="85"/>
      <x:c r="Q72" s="89"/>
      <x:c r="R72" s="90" t="str">
        <x:f>IF(OR(O72="",Q72=""),"",O72*Q72*IF(S72="별도",1.1,1))</x:f>
      </x:c>
      <x:c r="S72" s="85"/>
      <x:c r="T72" s="89"/>
      <x:c r="U72" s="89"/>
      <x:c r="V72" s="92"/>
      <x:c r="W72" s="88"/>
      <x:c r="X72" s="89"/>
      <x:c r="Y72" s="90" t="str">
        <x:f>IF(OR(W72="",X72=""),"",W72*X72*IF(S72="별도",1.1,1))</x:f>
      </x:c>
      <x:c r="Z72" s="93"/>
      <x:c r="AA72" s="90" t="str">
        <x:f>IF(OR(R72="",Y72=""),"",R72-Y72)</x:f>
      </x:c>
      <x:c r="AB72" s="90" t="str">
        <x:f>IF($A72="","",IF($B72="취소",0,IF($C72="제외",0,IF($Y72&lt;&gt;"",$Y72,IF($U72&lt;&gt;"",$U72,IF($T72&lt;&gt;"",$T72,$R72))))))</x:f>
      </x:c>
      <x:c r="AC72" s="91"/>
      <x:c r="AD72" s="91"/>
      <x:c r="AE72" s="91"/>
      <x:c r="AF72" s="90" t="str">
        <x:f>IF(AND(AC72="",AD72="",AE72=""),"",SUM(AC72:AE72))</x:f>
      </x:c>
      <x:c r="AG72" s="94"/>
      <x:c r="AH72" s="91" t="str">
        <x:f>IF(Y72="","",Y72-IF(AF72="",0,AF72))</x:f>
      </x:c>
      <x:c r="AI72" s="87"/>
      <x:c r="AJ72" s="87"/>
      <x:c r="AK72" s="87"/>
      <x:c r="AL72" s="87"/>
      <x:c r="AM72" s="87"/>
      <x:c r="AN72" s="85"/>
      <x:c r="AO72" s="85"/>
      <x:c r="AP72" s="85"/>
      <x:c r="AQ72" s="86" t="str">
        <x:f>IF(A72="","",IF(COUNTIF($A$7:$A$156,A72)&gt;1,"ID 중복",IF(F72="","예산 매핑 필요",IF(OR(E72="예산코드 오류",G72="예산코드 오류"),"예산코드 오류",IF(AND(Y72&lt;&gt;"",Z72=""),"구매일 필요",IF(AND(AF72&lt;&gt;"",AG72=""),"지급일 필요",IF(AND(AF72&lt;&gt;"",AN72=""),"증빙ID 필요",IF(OR(Y72&lt;0,AF72&lt;0),"금액 오류",IF(AND(Y72&lt;&gt;"",R72&lt;&gt;"",Y72&gt;R72),"계획 초과","정상")))))))))</x:f>
      </x:c>
    </x:row>
    <x:row r="73" ht="24" customHeight="1">
      <x:c r="A73" s="85"/>
      <x:c r="B73" s="85"/>
      <x:c r="C73" s="85"/>
      <x:c r="D73" s="85"/>
      <x:c r="E73" s="86" t="str">
        <x:f>IF(F73="","",IFERROR(VLOOKUP(F73,'02_승인예산'!$A$7:$S$66,2,FALSE),"예산코드 오류"))</x:f>
      </x:c>
      <x:c r="F73" s="85"/>
      <x:c r="G73" s="86" t="str">
        <x:f>IF(F73="","",IFERROR(VLOOKUP(F73,'02_승인예산'!$A$7:$S$66,4,FALSE),"예산코드 오류"))</x:f>
      </x:c>
      <x:c r="H73" s="85"/>
      <x:c r="I73" s="85"/>
      <x:c r="J73" s="85"/>
      <x:c r="K73" s="85"/>
      <x:c r="L73" s="85"/>
      <x:c r="M73" s="95"/>
      <x:c r="N73" s="92"/>
      <x:c r="O73" s="88"/>
      <x:c r="P73" s="85"/>
      <x:c r="Q73" s="89"/>
      <x:c r="R73" s="90" t="str">
        <x:f>IF(OR(O73="",Q73=""),"",O73*Q73*IF(S73="별도",1.1,1))</x:f>
      </x:c>
      <x:c r="S73" s="85"/>
      <x:c r="T73" s="89"/>
      <x:c r="U73" s="89"/>
      <x:c r="V73" s="92"/>
      <x:c r="W73" s="88"/>
      <x:c r="X73" s="89"/>
      <x:c r="Y73" s="90" t="str">
        <x:f>IF(OR(W73="",X73=""),"",W73*X73*IF(S73="별도",1.1,1))</x:f>
      </x:c>
      <x:c r="Z73" s="93"/>
      <x:c r="AA73" s="90" t="str">
        <x:f>IF(OR(R73="",Y73=""),"",R73-Y73)</x:f>
      </x:c>
      <x:c r="AB73" s="90" t="str">
        <x:f>IF($A73="","",IF($B73="취소",0,IF($C73="제외",0,IF($Y73&lt;&gt;"",$Y73,IF($U73&lt;&gt;"",$U73,IF($T73&lt;&gt;"",$T73,$R73))))))</x:f>
      </x:c>
      <x:c r="AC73" s="91"/>
      <x:c r="AD73" s="91"/>
      <x:c r="AE73" s="91"/>
      <x:c r="AF73" s="90" t="str">
        <x:f>IF(AND(AC73="",AD73="",AE73=""),"",SUM(AC73:AE73))</x:f>
      </x:c>
      <x:c r="AG73" s="94"/>
      <x:c r="AH73" s="91" t="str">
        <x:f>IF(Y73="","",Y73-IF(AF73="",0,AF73))</x:f>
      </x:c>
      <x:c r="AI73" s="87"/>
      <x:c r="AJ73" s="87"/>
      <x:c r="AK73" s="87"/>
      <x:c r="AL73" s="87"/>
      <x:c r="AM73" s="87"/>
      <x:c r="AN73" s="85"/>
      <x:c r="AO73" s="85"/>
      <x:c r="AP73" s="85"/>
      <x:c r="AQ73" s="86" t="str">
        <x:f>IF(A73="","",IF(COUNTIF($A$7:$A$156,A73)&gt;1,"ID 중복",IF(F73="","예산 매핑 필요",IF(OR(E73="예산코드 오류",G73="예산코드 오류"),"예산코드 오류",IF(AND(Y73&lt;&gt;"",Z73=""),"구매일 필요",IF(AND(AF73&lt;&gt;"",AG73=""),"지급일 필요",IF(AND(AF73&lt;&gt;"",AN73=""),"증빙ID 필요",IF(OR(Y73&lt;0,AF73&lt;0),"금액 오류",IF(AND(Y73&lt;&gt;"",R73&lt;&gt;"",Y73&gt;R73),"계획 초과","정상")))))))))</x:f>
      </x:c>
    </x:row>
    <x:row r="74" ht="24" customHeight="1">
      <x:c r="A74" s="85"/>
      <x:c r="B74" s="85"/>
      <x:c r="C74" s="85"/>
      <x:c r="D74" s="85"/>
      <x:c r="E74" s="86" t="str">
        <x:f>IF(F74="","",IFERROR(VLOOKUP(F74,'02_승인예산'!$A$7:$S$66,2,FALSE),"예산코드 오류"))</x:f>
      </x:c>
      <x:c r="F74" s="85"/>
      <x:c r="G74" s="86" t="str">
        <x:f>IF(F74="","",IFERROR(VLOOKUP(F74,'02_승인예산'!$A$7:$S$66,4,FALSE),"예산코드 오류"))</x:f>
      </x:c>
      <x:c r="H74" s="85"/>
      <x:c r="I74" s="85"/>
      <x:c r="J74" s="85"/>
      <x:c r="K74" s="85"/>
      <x:c r="L74" s="85"/>
      <x:c r="M74" s="95"/>
      <x:c r="N74" s="92"/>
      <x:c r="O74" s="88"/>
      <x:c r="P74" s="85"/>
      <x:c r="Q74" s="89"/>
      <x:c r="R74" s="90" t="str">
        <x:f>IF(OR(O74="",Q74=""),"",O74*Q74*IF(S74="별도",1.1,1))</x:f>
      </x:c>
      <x:c r="S74" s="85"/>
      <x:c r="T74" s="89"/>
      <x:c r="U74" s="89"/>
      <x:c r="V74" s="92"/>
      <x:c r="W74" s="88"/>
      <x:c r="X74" s="89"/>
      <x:c r="Y74" s="90" t="str">
        <x:f>IF(OR(W74="",X74=""),"",W74*X74*IF(S74="별도",1.1,1))</x:f>
      </x:c>
      <x:c r="Z74" s="93"/>
      <x:c r="AA74" s="90" t="str">
        <x:f>IF(OR(R74="",Y74=""),"",R74-Y74)</x:f>
      </x:c>
      <x:c r="AB74" s="90" t="str">
        <x:f>IF($A74="","",IF($B74="취소",0,IF($C74="제외",0,IF($Y74&lt;&gt;"",$Y74,IF($U74&lt;&gt;"",$U74,IF($T74&lt;&gt;"",$T74,$R74))))))</x:f>
      </x:c>
      <x:c r="AC74" s="91"/>
      <x:c r="AD74" s="91"/>
      <x:c r="AE74" s="91"/>
      <x:c r="AF74" s="90" t="str">
        <x:f>IF(AND(AC74="",AD74="",AE74=""),"",SUM(AC74:AE74))</x:f>
      </x:c>
      <x:c r="AG74" s="94"/>
      <x:c r="AH74" s="91" t="str">
        <x:f>IF(Y74="","",Y74-IF(AF74="",0,AF74))</x:f>
      </x:c>
      <x:c r="AI74" s="87"/>
      <x:c r="AJ74" s="87"/>
      <x:c r="AK74" s="87"/>
      <x:c r="AL74" s="87"/>
      <x:c r="AM74" s="87"/>
      <x:c r="AN74" s="85"/>
      <x:c r="AO74" s="85"/>
      <x:c r="AP74" s="85"/>
      <x:c r="AQ74" s="86" t="str">
        <x:f>IF(A74="","",IF(COUNTIF($A$7:$A$156,A74)&gt;1,"ID 중복",IF(F74="","예산 매핑 필요",IF(OR(E74="예산코드 오류",G74="예산코드 오류"),"예산코드 오류",IF(AND(Y74&lt;&gt;"",Z74=""),"구매일 필요",IF(AND(AF74&lt;&gt;"",AG74=""),"지급일 필요",IF(AND(AF74&lt;&gt;"",AN74=""),"증빙ID 필요",IF(OR(Y74&lt;0,AF74&lt;0),"금액 오류",IF(AND(Y74&lt;&gt;"",R74&lt;&gt;"",Y74&gt;R74),"계획 초과","정상")))))))))</x:f>
      </x:c>
    </x:row>
    <x:row r="75" ht="24" customHeight="1">
      <x:c r="A75" s="85"/>
      <x:c r="B75" s="85"/>
      <x:c r="C75" s="85"/>
      <x:c r="D75" s="85"/>
      <x:c r="E75" s="86" t="str">
        <x:f>IF(F75="","",IFERROR(VLOOKUP(F75,'02_승인예산'!$A$7:$S$66,2,FALSE),"예산코드 오류"))</x:f>
      </x:c>
      <x:c r="F75" s="85"/>
      <x:c r="G75" s="86" t="str">
        <x:f>IF(F75="","",IFERROR(VLOOKUP(F75,'02_승인예산'!$A$7:$S$66,4,FALSE),"예산코드 오류"))</x:f>
      </x:c>
      <x:c r="H75" s="85"/>
      <x:c r="I75" s="85"/>
      <x:c r="J75" s="85"/>
      <x:c r="K75" s="85"/>
      <x:c r="L75" s="85"/>
      <x:c r="M75" s="95"/>
      <x:c r="N75" s="92"/>
      <x:c r="O75" s="88"/>
      <x:c r="P75" s="85"/>
      <x:c r="Q75" s="89"/>
      <x:c r="R75" s="90" t="str">
        <x:f>IF(OR(O75="",Q75=""),"",O75*Q75*IF(S75="별도",1.1,1))</x:f>
      </x:c>
      <x:c r="S75" s="85"/>
      <x:c r="T75" s="89"/>
      <x:c r="U75" s="89"/>
      <x:c r="V75" s="92"/>
      <x:c r="W75" s="88"/>
      <x:c r="X75" s="89"/>
      <x:c r="Y75" s="90" t="str">
        <x:f>IF(OR(W75="",X75=""),"",W75*X75*IF(S75="별도",1.1,1))</x:f>
      </x:c>
      <x:c r="Z75" s="93"/>
      <x:c r="AA75" s="90" t="str">
        <x:f>IF(OR(R75="",Y75=""),"",R75-Y75)</x:f>
      </x:c>
      <x:c r="AB75" s="90" t="str">
        <x:f>IF($A75="","",IF($B75="취소",0,IF($C75="제외",0,IF($Y75&lt;&gt;"",$Y75,IF($U75&lt;&gt;"",$U75,IF($T75&lt;&gt;"",$T75,$R75))))))</x:f>
      </x:c>
      <x:c r="AC75" s="91"/>
      <x:c r="AD75" s="91"/>
      <x:c r="AE75" s="91"/>
      <x:c r="AF75" s="90" t="str">
        <x:f>IF(AND(AC75="",AD75="",AE75=""),"",SUM(AC75:AE75))</x:f>
      </x:c>
      <x:c r="AG75" s="94"/>
      <x:c r="AH75" s="91" t="str">
        <x:f>IF(Y75="","",Y75-IF(AF75="",0,AF75))</x:f>
      </x:c>
      <x:c r="AI75" s="87"/>
      <x:c r="AJ75" s="87"/>
      <x:c r="AK75" s="87"/>
      <x:c r="AL75" s="87"/>
      <x:c r="AM75" s="87"/>
      <x:c r="AN75" s="85"/>
      <x:c r="AO75" s="85"/>
      <x:c r="AP75" s="85"/>
      <x:c r="AQ75" s="86" t="str">
        <x:f>IF(A75="","",IF(COUNTIF($A$7:$A$156,A75)&gt;1,"ID 중복",IF(F75="","예산 매핑 필요",IF(OR(E75="예산코드 오류",G75="예산코드 오류"),"예산코드 오류",IF(AND(Y75&lt;&gt;"",Z75=""),"구매일 필요",IF(AND(AF75&lt;&gt;"",AG75=""),"지급일 필요",IF(AND(AF75&lt;&gt;"",AN75=""),"증빙ID 필요",IF(OR(Y75&lt;0,AF75&lt;0),"금액 오류",IF(AND(Y75&lt;&gt;"",R75&lt;&gt;"",Y75&gt;R75),"계획 초과","정상")))))))))</x:f>
      </x:c>
    </x:row>
    <x:row r="76" ht="24" customHeight="1">
      <x:c r="A76" s="85"/>
      <x:c r="B76" s="85"/>
      <x:c r="C76" s="85"/>
      <x:c r="D76" s="85"/>
      <x:c r="E76" s="86" t="str">
        <x:f>IF(F76="","",IFERROR(VLOOKUP(F76,'02_승인예산'!$A$7:$S$66,2,FALSE),"예산코드 오류"))</x:f>
      </x:c>
      <x:c r="F76" s="85"/>
      <x:c r="G76" s="86" t="str">
        <x:f>IF(F76="","",IFERROR(VLOOKUP(F76,'02_승인예산'!$A$7:$S$66,4,FALSE),"예산코드 오류"))</x:f>
      </x:c>
      <x:c r="H76" s="85"/>
      <x:c r="I76" s="85"/>
      <x:c r="J76" s="85"/>
      <x:c r="K76" s="85"/>
      <x:c r="L76" s="85"/>
      <x:c r="M76" s="95"/>
      <x:c r="N76" s="92"/>
      <x:c r="O76" s="88"/>
      <x:c r="P76" s="85"/>
      <x:c r="Q76" s="89"/>
      <x:c r="R76" s="90" t="str">
        <x:f>IF(OR(O76="",Q76=""),"",O76*Q76*IF(S76="별도",1.1,1))</x:f>
      </x:c>
      <x:c r="S76" s="85"/>
      <x:c r="T76" s="89"/>
      <x:c r="U76" s="89"/>
      <x:c r="V76" s="92"/>
      <x:c r="W76" s="88"/>
      <x:c r="X76" s="89"/>
      <x:c r="Y76" s="90" t="str">
        <x:f>IF(OR(W76="",X76=""),"",W76*X76*IF(S76="별도",1.1,1))</x:f>
      </x:c>
      <x:c r="Z76" s="93"/>
      <x:c r="AA76" s="90" t="str">
        <x:f>IF(OR(R76="",Y76=""),"",R76-Y76)</x:f>
      </x:c>
      <x:c r="AB76" s="90" t="str">
        <x:f>IF($A76="","",IF($B76="취소",0,IF($C76="제외",0,IF($Y76&lt;&gt;"",$Y76,IF($U76&lt;&gt;"",$U76,IF($T76&lt;&gt;"",$T76,$R76))))))</x:f>
      </x:c>
      <x:c r="AC76" s="91"/>
      <x:c r="AD76" s="91"/>
      <x:c r="AE76" s="91"/>
      <x:c r="AF76" s="90" t="str">
        <x:f>IF(AND(AC76="",AD76="",AE76=""),"",SUM(AC76:AE76))</x:f>
      </x:c>
      <x:c r="AG76" s="94"/>
      <x:c r="AH76" s="91" t="str">
        <x:f>IF(Y76="","",Y76-IF(AF76="",0,AF76))</x:f>
      </x:c>
      <x:c r="AI76" s="87"/>
      <x:c r="AJ76" s="87"/>
      <x:c r="AK76" s="87"/>
      <x:c r="AL76" s="87"/>
      <x:c r="AM76" s="87"/>
      <x:c r="AN76" s="85"/>
      <x:c r="AO76" s="85"/>
      <x:c r="AP76" s="85"/>
      <x:c r="AQ76" s="86" t="str">
        <x:f>IF(A76="","",IF(COUNTIF($A$7:$A$156,A76)&gt;1,"ID 중복",IF(F76="","예산 매핑 필요",IF(OR(E76="예산코드 오류",G76="예산코드 오류"),"예산코드 오류",IF(AND(Y76&lt;&gt;"",Z76=""),"구매일 필요",IF(AND(AF76&lt;&gt;"",AG76=""),"지급일 필요",IF(AND(AF76&lt;&gt;"",AN76=""),"증빙ID 필요",IF(OR(Y76&lt;0,AF76&lt;0),"금액 오류",IF(AND(Y76&lt;&gt;"",R76&lt;&gt;"",Y76&gt;R76),"계획 초과","정상")))))))))</x:f>
      </x:c>
    </x:row>
    <x:row r="77" ht="24" customHeight="1">
      <x:c r="A77" s="85"/>
      <x:c r="B77" s="85"/>
      <x:c r="C77" s="85"/>
      <x:c r="D77" s="85"/>
      <x:c r="E77" s="86" t="str">
        <x:f>IF(F77="","",IFERROR(VLOOKUP(F77,'02_승인예산'!$A$7:$S$66,2,FALSE),"예산코드 오류"))</x:f>
      </x:c>
      <x:c r="F77" s="85"/>
      <x:c r="G77" s="86" t="str">
        <x:f>IF(F77="","",IFERROR(VLOOKUP(F77,'02_승인예산'!$A$7:$S$66,4,FALSE),"예산코드 오류"))</x:f>
      </x:c>
      <x:c r="H77" s="85"/>
      <x:c r="I77" s="85"/>
      <x:c r="J77" s="85"/>
      <x:c r="K77" s="85"/>
      <x:c r="L77" s="85"/>
      <x:c r="M77" s="95"/>
      <x:c r="N77" s="92"/>
      <x:c r="O77" s="88"/>
      <x:c r="P77" s="85"/>
      <x:c r="Q77" s="89"/>
      <x:c r="R77" s="90" t="str">
        <x:f>IF(OR(O77="",Q77=""),"",O77*Q77*IF(S77="별도",1.1,1))</x:f>
      </x:c>
      <x:c r="S77" s="85"/>
      <x:c r="T77" s="89"/>
      <x:c r="U77" s="89"/>
      <x:c r="V77" s="92"/>
      <x:c r="W77" s="88"/>
      <x:c r="X77" s="89"/>
      <x:c r="Y77" s="90" t="str">
        <x:f>IF(OR(W77="",X77=""),"",W77*X77*IF(S77="별도",1.1,1))</x:f>
      </x:c>
      <x:c r="Z77" s="93"/>
      <x:c r="AA77" s="90" t="str">
        <x:f>IF(OR(R77="",Y77=""),"",R77-Y77)</x:f>
      </x:c>
      <x:c r="AB77" s="90" t="str">
        <x:f>IF($A77="","",IF($B77="취소",0,IF($C77="제외",0,IF($Y77&lt;&gt;"",$Y77,IF($U77&lt;&gt;"",$U77,IF($T77&lt;&gt;"",$T77,$R77))))))</x:f>
      </x:c>
      <x:c r="AC77" s="91"/>
      <x:c r="AD77" s="91"/>
      <x:c r="AE77" s="91"/>
      <x:c r="AF77" s="90" t="str">
        <x:f>IF(AND(AC77="",AD77="",AE77=""),"",SUM(AC77:AE77))</x:f>
      </x:c>
      <x:c r="AG77" s="94"/>
      <x:c r="AH77" s="91" t="str">
        <x:f>IF(Y77="","",Y77-IF(AF77="",0,AF77))</x:f>
      </x:c>
      <x:c r="AI77" s="87"/>
      <x:c r="AJ77" s="87"/>
      <x:c r="AK77" s="87"/>
      <x:c r="AL77" s="87"/>
      <x:c r="AM77" s="87"/>
      <x:c r="AN77" s="85"/>
      <x:c r="AO77" s="85"/>
      <x:c r="AP77" s="85"/>
      <x:c r="AQ77" s="86" t="str">
        <x:f>IF(A77="","",IF(COUNTIF($A$7:$A$156,A77)&gt;1,"ID 중복",IF(F77="","예산 매핑 필요",IF(OR(E77="예산코드 오류",G77="예산코드 오류"),"예산코드 오류",IF(AND(Y77&lt;&gt;"",Z77=""),"구매일 필요",IF(AND(AF77&lt;&gt;"",AG77=""),"지급일 필요",IF(AND(AF77&lt;&gt;"",AN77=""),"증빙ID 필요",IF(OR(Y77&lt;0,AF77&lt;0),"금액 오류",IF(AND(Y77&lt;&gt;"",R77&lt;&gt;"",Y77&gt;R77),"계획 초과","정상")))))))))</x:f>
      </x:c>
    </x:row>
    <x:row r="78" ht="24" customHeight="1">
      <x:c r="A78" s="85"/>
      <x:c r="B78" s="85"/>
      <x:c r="C78" s="85"/>
      <x:c r="D78" s="85"/>
      <x:c r="E78" s="86" t="str">
        <x:f>IF(F78="","",IFERROR(VLOOKUP(F78,'02_승인예산'!$A$7:$S$66,2,FALSE),"예산코드 오류"))</x:f>
      </x:c>
      <x:c r="F78" s="85"/>
      <x:c r="G78" s="86" t="str">
        <x:f>IF(F78="","",IFERROR(VLOOKUP(F78,'02_승인예산'!$A$7:$S$66,4,FALSE),"예산코드 오류"))</x:f>
      </x:c>
      <x:c r="H78" s="85"/>
      <x:c r="I78" s="85"/>
      <x:c r="J78" s="85"/>
      <x:c r="K78" s="85"/>
      <x:c r="L78" s="85"/>
      <x:c r="M78" s="95"/>
      <x:c r="N78" s="92"/>
      <x:c r="O78" s="88"/>
      <x:c r="P78" s="85"/>
      <x:c r="Q78" s="89"/>
      <x:c r="R78" s="90" t="str">
        <x:f>IF(OR(O78="",Q78=""),"",O78*Q78*IF(S78="별도",1.1,1))</x:f>
      </x:c>
      <x:c r="S78" s="85"/>
      <x:c r="T78" s="89"/>
      <x:c r="U78" s="89"/>
      <x:c r="V78" s="92"/>
      <x:c r="W78" s="88"/>
      <x:c r="X78" s="89"/>
      <x:c r="Y78" s="90" t="str">
        <x:f>IF(OR(W78="",X78=""),"",W78*X78*IF(S78="별도",1.1,1))</x:f>
      </x:c>
      <x:c r="Z78" s="93"/>
      <x:c r="AA78" s="90" t="str">
        <x:f>IF(OR(R78="",Y78=""),"",R78-Y78)</x:f>
      </x:c>
      <x:c r="AB78" s="90" t="str">
        <x:f>IF($A78="","",IF($B78="취소",0,IF($C78="제외",0,IF($Y78&lt;&gt;"",$Y78,IF($U78&lt;&gt;"",$U78,IF($T78&lt;&gt;"",$T78,$R78))))))</x:f>
      </x:c>
      <x:c r="AC78" s="91"/>
      <x:c r="AD78" s="91"/>
      <x:c r="AE78" s="91"/>
      <x:c r="AF78" s="90" t="str">
        <x:f>IF(AND(AC78="",AD78="",AE78=""),"",SUM(AC78:AE78))</x:f>
      </x:c>
      <x:c r="AG78" s="94"/>
      <x:c r="AH78" s="91" t="str">
        <x:f>IF(Y78="","",Y78-IF(AF78="",0,AF78))</x:f>
      </x:c>
      <x:c r="AI78" s="87"/>
      <x:c r="AJ78" s="87"/>
      <x:c r="AK78" s="87"/>
      <x:c r="AL78" s="87"/>
      <x:c r="AM78" s="87"/>
      <x:c r="AN78" s="85"/>
      <x:c r="AO78" s="85"/>
      <x:c r="AP78" s="85"/>
      <x:c r="AQ78" s="86" t="str">
        <x:f>IF(A78="","",IF(COUNTIF($A$7:$A$156,A78)&gt;1,"ID 중복",IF(F78="","예산 매핑 필요",IF(OR(E78="예산코드 오류",G78="예산코드 오류"),"예산코드 오류",IF(AND(Y78&lt;&gt;"",Z78=""),"구매일 필요",IF(AND(AF78&lt;&gt;"",AG78=""),"지급일 필요",IF(AND(AF78&lt;&gt;"",AN78=""),"증빙ID 필요",IF(OR(Y78&lt;0,AF78&lt;0),"금액 오류",IF(AND(Y78&lt;&gt;"",R78&lt;&gt;"",Y78&gt;R78),"계획 초과","정상")))))))))</x:f>
      </x:c>
    </x:row>
    <x:row r="79" ht="24" customHeight="1">
      <x:c r="A79" s="85"/>
      <x:c r="B79" s="85"/>
      <x:c r="C79" s="85"/>
      <x:c r="D79" s="85"/>
      <x:c r="E79" s="86" t="str">
        <x:f>IF(F79="","",IFERROR(VLOOKUP(F79,'02_승인예산'!$A$7:$S$66,2,FALSE),"예산코드 오류"))</x:f>
      </x:c>
      <x:c r="F79" s="85"/>
      <x:c r="G79" s="86" t="str">
        <x:f>IF(F79="","",IFERROR(VLOOKUP(F79,'02_승인예산'!$A$7:$S$66,4,FALSE),"예산코드 오류"))</x:f>
      </x:c>
      <x:c r="H79" s="85"/>
      <x:c r="I79" s="85"/>
      <x:c r="J79" s="85"/>
      <x:c r="K79" s="85"/>
      <x:c r="L79" s="85"/>
      <x:c r="M79" s="95"/>
      <x:c r="N79" s="92"/>
      <x:c r="O79" s="88"/>
      <x:c r="P79" s="85"/>
      <x:c r="Q79" s="89"/>
      <x:c r="R79" s="90" t="str">
        <x:f>IF(OR(O79="",Q79=""),"",O79*Q79*IF(S79="별도",1.1,1))</x:f>
      </x:c>
      <x:c r="S79" s="85"/>
      <x:c r="T79" s="89"/>
      <x:c r="U79" s="89"/>
      <x:c r="V79" s="92"/>
      <x:c r="W79" s="88"/>
      <x:c r="X79" s="89"/>
      <x:c r="Y79" s="90" t="str">
        <x:f>IF(OR(W79="",X79=""),"",W79*X79*IF(S79="별도",1.1,1))</x:f>
      </x:c>
      <x:c r="Z79" s="93"/>
      <x:c r="AA79" s="90" t="str">
        <x:f>IF(OR(R79="",Y79=""),"",R79-Y79)</x:f>
      </x:c>
      <x:c r="AB79" s="90" t="str">
        <x:f>IF($A79="","",IF($B79="취소",0,IF($C79="제외",0,IF($Y79&lt;&gt;"",$Y79,IF($U79&lt;&gt;"",$U79,IF($T79&lt;&gt;"",$T79,$R79))))))</x:f>
      </x:c>
      <x:c r="AC79" s="91"/>
      <x:c r="AD79" s="91"/>
      <x:c r="AE79" s="91"/>
      <x:c r="AF79" s="90" t="str">
        <x:f>IF(AND(AC79="",AD79="",AE79=""),"",SUM(AC79:AE79))</x:f>
      </x:c>
      <x:c r="AG79" s="94"/>
      <x:c r="AH79" s="91" t="str">
        <x:f>IF(Y79="","",Y79-IF(AF79="",0,AF79))</x:f>
      </x:c>
      <x:c r="AI79" s="87"/>
      <x:c r="AJ79" s="87"/>
      <x:c r="AK79" s="87"/>
      <x:c r="AL79" s="87"/>
      <x:c r="AM79" s="87"/>
      <x:c r="AN79" s="85"/>
      <x:c r="AO79" s="85"/>
      <x:c r="AP79" s="85"/>
      <x:c r="AQ79" s="86" t="str">
        <x:f>IF(A79="","",IF(COUNTIF($A$7:$A$156,A79)&gt;1,"ID 중복",IF(F79="","예산 매핑 필요",IF(OR(E79="예산코드 오류",G79="예산코드 오류"),"예산코드 오류",IF(AND(Y79&lt;&gt;"",Z79=""),"구매일 필요",IF(AND(AF79&lt;&gt;"",AG79=""),"지급일 필요",IF(AND(AF79&lt;&gt;"",AN79=""),"증빙ID 필요",IF(OR(Y79&lt;0,AF79&lt;0),"금액 오류",IF(AND(Y79&lt;&gt;"",R79&lt;&gt;"",Y79&gt;R79),"계획 초과","정상")))))))))</x:f>
      </x:c>
    </x:row>
    <x:row r="80" ht="24" customHeight="1">
      <x:c r="A80" s="85"/>
      <x:c r="B80" s="85"/>
      <x:c r="C80" s="85"/>
      <x:c r="D80" s="85"/>
      <x:c r="E80" s="86" t="str">
        <x:f>IF(F80="","",IFERROR(VLOOKUP(F80,'02_승인예산'!$A$7:$S$66,2,FALSE),"예산코드 오류"))</x:f>
      </x:c>
      <x:c r="F80" s="85"/>
      <x:c r="G80" s="86" t="str">
        <x:f>IF(F80="","",IFERROR(VLOOKUP(F80,'02_승인예산'!$A$7:$S$66,4,FALSE),"예산코드 오류"))</x:f>
      </x:c>
      <x:c r="H80" s="85"/>
      <x:c r="I80" s="85"/>
      <x:c r="J80" s="85"/>
      <x:c r="K80" s="85"/>
      <x:c r="L80" s="85"/>
      <x:c r="M80" s="95"/>
      <x:c r="N80" s="92"/>
      <x:c r="O80" s="88"/>
      <x:c r="P80" s="85"/>
      <x:c r="Q80" s="89"/>
      <x:c r="R80" s="90" t="str">
        <x:f>IF(OR(O80="",Q80=""),"",O80*Q80*IF(S80="별도",1.1,1))</x:f>
      </x:c>
      <x:c r="S80" s="85"/>
      <x:c r="T80" s="89"/>
      <x:c r="U80" s="89"/>
      <x:c r="V80" s="92"/>
      <x:c r="W80" s="88"/>
      <x:c r="X80" s="89"/>
      <x:c r="Y80" s="90" t="str">
        <x:f>IF(OR(W80="",X80=""),"",W80*X80*IF(S80="별도",1.1,1))</x:f>
      </x:c>
      <x:c r="Z80" s="93"/>
      <x:c r="AA80" s="90" t="str">
        <x:f>IF(OR(R80="",Y80=""),"",R80-Y80)</x:f>
      </x:c>
      <x:c r="AB80" s="90" t="str">
        <x:f>IF($A80="","",IF($B80="취소",0,IF($C80="제외",0,IF($Y80&lt;&gt;"",$Y80,IF($U80&lt;&gt;"",$U80,IF($T80&lt;&gt;"",$T80,$R80))))))</x:f>
      </x:c>
      <x:c r="AC80" s="91"/>
      <x:c r="AD80" s="91"/>
      <x:c r="AE80" s="91"/>
      <x:c r="AF80" s="90" t="str">
        <x:f>IF(AND(AC80="",AD80="",AE80=""),"",SUM(AC80:AE80))</x:f>
      </x:c>
      <x:c r="AG80" s="94"/>
      <x:c r="AH80" s="91" t="str">
        <x:f>IF(Y80="","",Y80-IF(AF80="",0,AF80))</x:f>
      </x:c>
      <x:c r="AI80" s="87"/>
      <x:c r="AJ80" s="87"/>
      <x:c r="AK80" s="87"/>
      <x:c r="AL80" s="87"/>
      <x:c r="AM80" s="87"/>
      <x:c r="AN80" s="85"/>
      <x:c r="AO80" s="85"/>
      <x:c r="AP80" s="85"/>
      <x:c r="AQ80" s="86" t="str">
        <x:f>IF(A80="","",IF(COUNTIF($A$7:$A$156,A80)&gt;1,"ID 중복",IF(F80="","예산 매핑 필요",IF(OR(E80="예산코드 오류",G80="예산코드 오류"),"예산코드 오류",IF(AND(Y80&lt;&gt;"",Z80=""),"구매일 필요",IF(AND(AF80&lt;&gt;"",AG80=""),"지급일 필요",IF(AND(AF80&lt;&gt;"",AN80=""),"증빙ID 필요",IF(OR(Y80&lt;0,AF80&lt;0),"금액 오류",IF(AND(Y80&lt;&gt;"",R80&lt;&gt;"",Y80&gt;R80),"계획 초과","정상")))))))))</x:f>
      </x:c>
    </x:row>
    <x:row r="81" ht="24" customHeight="1">
      <x:c r="A81" s="85"/>
      <x:c r="B81" s="85"/>
      <x:c r="C81" s="85"/>
      <x:c r="D81" s="85"/>
      <x:c r="E81" s="86" t="str">
        <x:f>IF(F81="","",IFERROR(VLOOKUP(F81,'02_승인예산'!$A$7:$S$66,2,FALSE),"예산코드 오류"))</x:f>
      </x:c>
      <x:c r="F81" s="85"/>
      <x:c r="G81" s="86" t="str">
        <x:f>IF(F81="","",IFERROR(VLOOKUP(F81,'02_승인예산'!$A$7:$S$66,4,FALSE),"예산코드 오류"))</x:f>
      </x:c>
      <x:c r="H81" s="85"/>
      <x:c r="I81" s="85"/>
      <x:c r="J81" s="85"/>
      <x:c r="K81" s="85"/>
      <x:c r="L81" s="85"/>
      <x:c r="M81" s="95"/>
      <x:c r="N81" s="92"/>
      <x:c r="O81" s="88"/>
      <x:c r="P81" s="85"/>
      <x:c r="Q81" s="89"/>
      <x:c r="R81" s="90" t="str">
        <x:f>IF(OR(O81="",Q81=""),"",O81*Q81*IF(S81="별도",1.1,1))</x:f>
      </x:c>
      <x:c r="S81" s="85"/>
      <x:c r="T81" s="89"/>
      <x:c r="U81" s="89"/>
      <x:c r="V81" s="92"/>
      <x:c r="W81" s="88"/>
      <x:c r="X81" s="89"/>
      <x:c r="Y81" s="90" t="str">
        <x:f>IF(OR(W81="",X81=""),"",W81*X81*IF(S81="별도",1.1,1))</x:f>
      </x:c>
      <x:c r="Z81" s="93"/>
      <x:c r="AA81" s="90" t="str">
        <x:f>IF(OR(R81="",Y81=""),"",R81-Y81)</x:f>
      </x:c>
      <x:c r="AB81" s="90" t="str">
        <x:f>IF($A81="","",IF($B81="취소",0,IF($C81="제외",0,IF($Y81&lt;&gt;"",$Y81,IF($U81&lt;&gt;"",$U81,IF($T81&lt;&gt;"",$T81,$R81))))))</x:f>
      </x:c>
      <x:c r="AC81" s="91"/>
      <x:c r="AD81" s="91"/>
      <x:c r="AE81" s="91"/>
      <x:c r="AF81" s="90" t="str">
        <x:f>IF(AND(AC81="",AD81="",AE81=""),"",SUM(AC81:AE81))</x:f>
      </x:c>
      <x:c r="AG81" s="94"/>
      <x:c r="AH81" s="91" t="str">
        <x:f>IF(Y81="","",Y81-IF(AF81="",0,AF81))</x:f>
      </x:c>
      <x:c r="AI81" s="87"/>
      <x:c r="AJ81" s="87"/>
      <x:c r="AK81" s="87"/>
      <x:c r="AL81" s="87"/>
      <x:c r="AM81" s="87"/>
      <x:c r="AN81" s="85"/>
      <x:c r="AO81" s="85"/>
      <x:c r="AP81" s="85"/>
      <x:c r="AQ81" s="86" t="str">
        <x:f>IF(A81="","",IF(COUNTIF($A$7:$A$156,A81)&gt;1,"ID 중복",IF(F81="","예산 매핑 필요",IF(OR(E81="예산코드 오류",G81="예산코드 오류"),"예산코드 오류",IF(AND(Y81&lt;&gt;"",Z81=""),"구매일 필요",IF(AND(AF81&lt;&gt;"",AG81=""),"지급일 필요",IF(AND(AF81&lt;&gt;"",AN81=""),"증빙ID 필요",IF(OR(Y81&lt;0,AF81&lt;0),"금액 오류",IF(AND(Y81&lt;&gt;"",R81&lt;&gt;"",Y81&gt;R81),"계획 초과","정상")))))))))</x:f>
      </x:c>
    </x:row>
    <x:row r="82" ht="24" customHeight="1">
      <x:c r="A82" s="85"/>
      <x:c r="B82" s="85"/>
      <x:c r="C82" s="85"/>
      <x:c r="D82" s="85"/>
      <x:c r="E82" s="86" t="str">
        <x:f>IF(F82="","",IFERROR(VLOOKUP(F82,'02_승인예산'!$A$7:$S$66,2,FALSE),"예산코드 오류"))</x:f>
      </x:c>
      <x:c r="F82" s="85"/>
      <x:c r="G82" s="86" t="str">
        <x:f>IF(F82="","",IFERROR(VLOOKUP(F82,'02_승인예산'!$A$7:$S$66,4,FALSE),"예산코드 오류"))</x:f>
      </x:c>
      <x:c r="H82" s="85"/>
      <x:c r="I82" s="85"/>
      <x:c r="J82" s="85"/>
      <x:c r="K82" s="85"/>
      <x:c r="L82" s="85"/>
      <x:c r="M82" s="95"/>
      <x:c r="N82" s="92"/>
      <x:c r="O82" s="88"/>
      <x:c r="P82" s="85"/>
      <x:c r="Q82" s="89"/>
      <x:c r="R82" s="90" t="str">
        <x:f>IF(OR(O82="",Q82=""),"",O82*Q82*IF(S82="별도",1.1,1))</x:f>
      </x:c>
      <x:c r="S82" s="85"/>
      <x:c r="T82" s="89"/>
      <x:c r="U82" s="89"/>
      <x:c r="V82" s="92"/>
      <x:c r="W82" s="88"/>
      <x:c r="X82" s="89"/>
      <x:c r="Y82" s="90" t="str">
        <x:f>IF(OR(W82="",X82=""),"",W82*X82*IF(S82="별도",1.1,1))</x:f>
      </x:c>
      <x:c r="Z82" s="93"/>
      <x:c r="AA82" s="90" t="str">
        <x:f>IF(OR(R82="",Y82=""),"",R82-Y82)</x:f>
      </x:c>
      <x:c r="AB82" s="90" t="str">
        <x:f>IF($A82="","",IF($B82="취소",0,IF($C82="제외",0,IF($Y82&lt;&gt;"",$Y82,IF($U82&lt;&gt;"",$U82,IF($T82&lt;&gt;"",$T82,$R82))))))</x:f>
      </x:c>
      <x:c r="AC82" s="91"/>
      <x:c r="AD82" s="91"/>
      <x:c r="AE82" s="91"/>
      <x:c r="AF82" s="90" t="str">
        <x:f>IF(AND(AC82="",AD82="",AE82=""),"",SUM(AC82:AE82))</x:f>
      </x:c>
      <x:c r="AG82" s="94"/>
      <x:c r="AH82" s="91" t="str">
        <x:f>IF(Y82="","",Y82-IF(AF82="",0,AF82))</x:f>
      </x:c>
      <x:c r="AI82" s="87"/>
      <x:c r="AJ82" s="87"/>
      <x:c r="AK82" s="87"/>
      <x:c r="AL82" s="87"/>
      <x:c r="AM82" s="87"/>
      <x:c r="AN82" s="85"/>
      <x:c r="AO82" s="85"/>
      <x:c r="AP82" s="85"/>
      <x:c r="AQ82" s="86" t="str">
        <x:f>IF(A82="","",IF(COUNTIF($A$7:$A$156,A82)&gt;1,"ID 중복",IF(F82="","예산 매핑 필요",IF(OR(E82="예산코드 오류",G82="예산코드 오류"),"예산코드 오류",IF(AND(Y82&lt;&gt;"",Z82=""),"구매일 필요",IF(AND(AF82&lt;&gt;"",AG82=""),"지급일 필요",IF(AND(AF82&lt;&gt;"",AN82=""),"증빙ID 필요",IF(OR(Y82&lt;0,AF82&lt;0),"금액 오류",IF(AND(Y82&lt;&gt;"",R82&lt;&gt;"",Y82&gt;R82),"계획 초과","정상")))))))))</x:f>
      </x:c>
    </x:row>
    <x:row r="83" ht="24" customHeight="1">
      <x:c r="A83" s="85"/>
      <x:c r="B83" s="85"/>
      <x:c r="C83" s="85"/>
      <x:c r="D83" s="85"/>
      <x:c r="E83" s="86" t="str">
        <x:f>IF(F83="","",IFERROR(VLOOKUP(F83,'02_승인예산'!$A$7:$S$66,2,FALSE),"예산코드 오류"))</x:f>
      </x:c>
      <x:c r="F83" s="85"/>
      <x:c r="G83" s="86" t="str">
        <x:f>IF(F83="","",IFERROR(VLOOKUP(F83,'02_승인예산'!$A$7:$S$66,4,FALSE),"예산코드 오류"))</x:f>
      </x:c>
      <x:c r="H83" s="85"/>
      <x:c r="I83" s="85"/>
      <x:c r="J83" s="85"/>
      <x:c r="K83" s="85"/>
      <x:c r="L83" s="85"/>
      <x:c r="M83" s="95"/>
      <x:c r="N83" s="92"/>
      <x:c r="O83" s="88"/>
      <x:c r="P83" s="85"/>
      <x:c r="Q83" s="89"/>
      <x:c r="R83" s="90" t="str">
        <x:f>IF(OR(O83="",Q83=""),"",O83*Q83*IF(S83="별도",1.1,1))</x:f>
      </x:c>
      <x:c r="S83" s="85"/>
      <x:c r="T83" s="89"/>
      <x:c r="U83" s="89"/>
      <x:c r="V83" s="92"/>
      <x:c r="W83" s="88"/>
      <x:c r="X83" s="89"/>
      <x:c r="Y83" s="90" t="str">
        <x:f>IF(OR(W83="",X83=""),"",W83*X83*IF(S83="별도",1.1,1))</x:f>
      </x:c>
      <x:c r="Z83" s="93"/>
      <x:c r="AA83" s="90" t="str">
        <x:f>IF(OR(R83="",Y83=""),"",R83-Y83)</x:f>
      </x:c>
      <x:c r="AB83" s="90" t="str">
        <x:f>IF($A83="","",IF($B83="취소",0,IF($C83="제외",0,IF($Y83&lt;&gt;"",$Y83,IF($U83&lt;&gt;"",$U83,IF($T83&lt;&gt;"",$T83,$R83))))))</x:f>
      </x:c>
      <x:c r="AC83" s="91"/>
      <x:c r="AD83" s="91"/>
      <x:c r="AE83" s="91"/>
      <x:c r="AF83" s="90" t="str">
        <x:f>IF(AND(AC83="",AD83="",AE83=""),"",SUM(AC83:AE83))</x:f>
      </x:c>
      <x:c r="AG83" s="94"/>
      <x:c r="AH83" s="91" t="str">
        <x:f>IF(Y83="","",Y83-IF(AF83="",0,AF83))</x:f>
      </x:c>
      <x:c r="AI83" s="87"/>
      <x:c r="AJ83" s="87"/>
      <x:c r="AK83" s="87"/>
      <x:c r="AL83" s="87"/>
      <x:c r="AM83" s="87"/>
      <x:c r="AN83" s="85"/>
      <x:c r="AO83" s="85"/>
      <x:c r="AP83" s="85"/>
      <x:c r="AQ83" s="86" t="str">
        <x:f>IF(A83="","",IF(COUNTIF($A$7:$A$156,A83)&gt;1,"ID 중복",IF(F83="","예산 매핑 필요",IF(OR(E83="예산코드 오류",G83="예산코드 오류"),"예산코드 오류",IF(AND(Y83&lt;&gt;"",Z83=""),"구매일 필요",IF(AND(AF83&lt;&gt;"",AG83=""),"지급일 필요",IF(AND(AF83&lt;&gt;"",AN83=""),"증빙ID 필요",IF(OR(Y83&lt;0,AF83&lt;0),"금액 오류",IF(AND(Y83&lt;&gt;"",R83&lt;&gt;"",Y83&gt;R83),"계획 초과","정상")))))))))</x:f>
      </x:c>
    </x:row>
    <x:row r="84" ht="24" customHeight="1">
      <x:c r="A84" s="85"/>
      <x:c r="B84" s="85"/>
      <x:c r="C84" s="85"/>
      <x:c r="D84" s="85"/>
      <x:c r="E84" s="86" t="str">
        <x:f>IF(F84="","",IFERROR(VLOOKUP(F84,'02_승인예산'!$A$7:$S$66,2,FALSE),"예산코드 오류"))</x:f>
      </x:c>
      <x:c r="F84" s="85"/>
      <x:c r="G84" s="86" t="str">
        <x:f>IF(F84="","",IFERROR(VLOOKUP(F84,'02_승인예산'!$A$7:$S$66,4,FALSE),"예산코드 오류"))</x:f>
      </x:c>
      <x:c r="H84" s="85"/>
      <x:c r="I84" s="85"/>
      <x:c r="J84" s="85"/>
      <x:c r="K84" s="85"/>
      <x:c r="L84" s="85"/>
      <x:c r="M84" s="95"/>
      <x:c r="N84" s="92"/>
      <x:c r="O84" s="88"/>
      <x:c r="P84" s="85"/>
      <x:c r="Q84" s="89"/>
      <x:c r="R84" s="90" t="str">
        <x:f>IF(OR(O84="",Q84=""),"",O84*Q84*IF(S84="별도",1.1,1))</x:f>
      </x:c>
      <x:c r="S84" s="85"/>
      <x:c r="T84" s="89"/>
      <x:c r="U84" s="89"/>
      <x:c r="V84" s="92"/>
      <x:c r="W84" s="88"/>
      <x:c r="X84" s="89"/>
      <x:c r="Y84" s="90" t="str">
        <x:f>IF(OR(W84="",X84=""),"",W84*X84*IF(S84="별도",1.1,1))</x:f>
      </x:c>
      <x:c r="Z84" s="93"/>
      <x:c r="AA84" s="90" t="str">
        <x:f>IF(OR(R84="",Y84=""),"",R84-Y84)</x:f>
      </x:c>
      <x:c r="AB84" s="90" t="str">
        <x:f>IF($A84="","",IF($B84="취소",0,IF($C84="제외",0,IF($Y84&lt;&gt;"",$Y84,IF($U84&lt;&gt;"",$U84,IF($T84&lt;&gt;"",$T84,$R84))))))</x:f>
      </x:c>
      <x:c r="AC84" s="91"/>
      <x:c r="AD84" s="91"/>
      <x:c r="AE84" s="91"/>
      <x:c r="AF84" s="90" t="str">
        <x:f>IF(AND(AC84="",AD84="",AE84=""),"",SUM(AC84:AE84))</x:f>
      </x:c>
      <x:c r="AG84" s="94"/>
      <x:c r="AH84" s="91" t="str">
        <x:f>IF(Y84="","",Y84-IF(AF84="",0,AF84))</x:f>
      </x:c>
      <x:c r="AI84" s="87"/>
      <x:c r="AJ84" s="87"/>
      <x:c r="AK84" s="87"/>
      <x:c r="AL84" s="87"/>
      <x:c r="AM84" s="87"/>
      <x:c r="AN84" s="85"/>
      <x:c r="AO84" s="85"/>
      <x:c r="AP84" s="85"/>
      <x:c r="AQ84" s="86" t="str">
        <x:f>IF(A84="","",IF(COUNTIF($A$7:$A$156,A84)&gt;1,"ID 중복",IF(F84="","예산 매핑 필요",IF(OR(E84="예산코드 오류",G84="예산코드 오류"),"예산코드 오류",IF(AND(Y84&lt;&gt;"",Z84=""),"구매일 필요",IF(AND(AF84&lt;&gt;"",AG84=""),"지급일 필요",IF(AND(AF84&lt;&gt;"",AN84=""),"증빙ID 필요",IF(OR(Y84&lt;0,AF84&lt;0),"금액 오류",IF(AND(Y84&lt;&gt;"",R84&lt;&gt;"",Y84&gt;R84),"계획 초과","정상")))))))))</x:f>
      </x:c>
    </x:row>
    <x:row r="85" ht="24" customHeight="1">
      <x:c r="A85" s="85"/>
      <x:c r="B85" s="85"/>
      <x:c r="C85" s="85"/>
      <x:c r="D85" s="85"/>
      <x:c r="E85" s="86" t="str">
        <x:f>IF(F85="","",IFERROR(VLOOKUP(F85,'02_승인예산'!$A$7:$S$66,2,FALSE),"예산코드 오류"))</x:f>
      </x:c>
      <x:c r="F85" s="85"/>
      <x:c r="G85" s="86" t="str">
        <x:f>IF(F85="","",IFERROR(VLOOKUP(F85,'02_승인예산'!$A$7:$S$66,4,FALSE),"예산코드 오류"))</x:f>
      </x:c>
      <x:c r="H85" s="85"/>
      <x:c r="I85" s="85"/>
      <x:c r="J85" s="85"/>
      <x:c r="K85" s="85"/>
      <x:c r="L85" s="85"/>
      <x:c r="M85" s="95"/>
      <x:c r="N85" s="92"/>
      <x:c r="O85" s="88"/>
      <x:c r="P85" s="85"/>
      <x:c r="Q85" s="89"/>
      <x:c r="R85" s="90" t="str">
        <x:f>IF(OR(O85="",Q85=""),"",O85*Q85*IF(S85="별도",1.1,1))</x:f>
      </x:c>
      <x:c r="S85" s="85"/>
      <x:c r="T85" s="89"/>
      <x:c r="U85" s="89"/>
      <x:c r="V85" s="92"/>
      <x:c r="W85" s="88"/>
      <x:c r="X85" s="89"/>
      <x:c r="Y85" s="90" t="str">
        <x:f>IF(OR(W85="",X85=""),"",W85*X85*IF(S85="별도",1.1,1))</x:f>
      </x:c>
      <x:c r="Z85" s="93"/>
      <x:c r="AA85" s="90" t="str">
        <x:f>IF(OR(R85="",Y85=""),"",R85-Y85)</x:f>
      </x:c>
      <x:c r="AB85" s="90" t="str">
        <x:f>IF($A85="","",IF($B85="취소",0,IF($C85="제외",0,IF($Y85&lt;&gt;"",$Y85,IF($U85&lt;&gt;"",$U85,IF($T85&lt;&gt;"",$T85,$R85))))))</x:f>
      </x:c>
      <x:c r="AC85" s="91"/>
      <x:c r="AD85" s="91"/>
      <x:c r="AE85" s="91"/>
      <x:c r="AF85" s="90" t="str">
        <x:f>IF(AND(AC85="",AD85="",AE85=""),"",SUM(AC85:AE85))</x:f>
      </x:c>
      <x:c r="AG85" s="94"/>
      <x:c r="AH85" s="91" t="str">
        <x:f>IF(Y85="","",Y85-IF(AF85="",0,AF85))</x:f>
      </x:c>
      <x:c r="AI85" s="87"/>
      <x:c r="AJ85" s="87"/>
      <x:c r="AK85" s="87"/>
      <x:c r="AL85" s="87"/>
      <x:c r="AM85" s="87"/>
      <x:c r="AN85" s="85"/>
      <x:c r="AO85" s="85"/>
      <x:c r="AP85" s="85"/>
      <x:c r="AQ85" s="86" t="str">
        <x:f>IF(A85="","",IF(COUNTIF($A$7:$A$156,A85)&gt;1,"ID 중복",IF(F85="","예산 매핑 필요",IF(OR(E85="예산코드 오류",G85="예산코드 오류"),"예산코드 오류",IF(AND(Y85&lt;&gt;"",Z85=""),"구매일 필요",IF(AND(AF85&lt;&gt;"",AG85=""),"지급일 필요",IF(AND(AF85&lt;&gt;"",AN85=""),"증빙ID 필요",IF(OR(Y85&lt;0,AF85&lt;0),"금액 오류",IF(AND(Y85&lt;&gt;"",R85&lt;&gt;"",Y85&gt;R85),"계획 초과","정상")))))))))</x:f>
      </x:c>
    </x:row>
    <x:row r="86" ht="24" customHeight="1">
      <x:c r="A86" s="85"/>
      <x:c r="B86" s="85"/>
      <x:c r="C86" s="85"/>
      <x:c r="D86" s="85"/>
      <x:c r="E86" s="86" t="str">
        <x:f>IF(F86="","",IFERROR(VLOOKUP(F86,'02_승인예산'!$A$7:$S$66,2,FALSE),"예산코드 오류"))</x:f>
      </x:c>
      <x:c r="F86" s="85"/>
      <x:c r="G86" s="86" t="str">
        <x:f>IF(F86="","",IFERROR(VLOOKUP(F86,'02_승인예산'!$A$7:$S$66,4,FALSE),"예산코드 오류"))</x:f>
      </x:c>
      <x:c r="H86" s="85"/>
      <x:c r="I86" s="85"/>
      <x:c r="J86" s="85"/>
      <x:c r="K86" s="85"/>
      <x:c r="L86" s="85"/>
      <x:c r="M86" s="95"/>
      <x:c r="N86" s="92"/>
      <x:c r="O86" s="88"/>
      <x:c r="P86" s="85"/>
      <x:c r="Q86" s="89"/>
      <x:c r="R86" s="90" t="str">
        <x:f>IF(OR(O86="",Q86=""),"",O86*Q86*IF(S86="별도",1.1,1))</x:f>
      </x:c>
      <x:c r="S86" s="85"/>
      <x:c r="T86" s="89"/>
      <x:c r="U86" s="89"/>
      <x:c r="V86" s="92"/>
      <x:c r="W86" s="88"/>
      <x:c r="X86" s="89"/>
      <x:c r="Y86" s="90" t="str">
        <x:f>IF(OR(W86="",X86=""),"",W86*X86*IF(S86="별도",1.1,1))</x:f>
      </x:c>
      <x:c r="Z86" s="93"/>
      <x:c r="AA86" s="90" t="str">
        <x:f>IF(OR(R86="",Y86=""),"",R86-Y86)</x:f>
      </x:c>
      <x:c r="AB86" s="90" t="str">
        <x:f>IF($A86="","",IF($B86="취소",0,IF($C86="제외",0,IF($Y86&lt;&gt;"",$Y86,IF($U86&lt;&gt;"",$U86,IF($T86&lt;&gt;"",$T86,$R86))))))</x:f>
      </x:c>
      <x:c r="AC86" s="91"/>
      <x:c r="AD86" s="91"/>
      <x:c r="AE86" s="91"/>
      <x:c r="AF86" s="90" t="str">
        <x:f>IF(AND(AC86="",AD86="",AE86=""),"",SUM(AC86:AE86))</x:f>
      </x:c>
      <x:c r="AG86" s="94"/>
      <x:c r="AH86" s="91" t="str">
        <x:f>IF(Y86="","",Y86-IF(AF86="",0,AF86))</x:f>
      </x:c>
      <x:c r="AI86" s="87"/>
      <x:c r="AJ86" s="87"/>
      <x:c r="AK86" s="87"/>
      <x:c r="AL86" s="87"/>
      <x:c r="AM86" s="87"/>
      <x:c r="AN86" s="85"/>
      <x:c r="AO86" s="85"/>
      <x:c r="AP86" s="85"/>
      <x:c r="AQ86" s="86" t="str">
        <x:f>IF(A86="","",IF(COUNTIF($A$7:$A$156,A86)&gt;1,"ID 중복",IF(F86="","예산 매핑 필요",IF(OR(E86="예산코드 오류",G86="예산코드 오류"),"예산코드 오류",IF(AND(Y86&lt;&gt;"",Z86=""),"구매일 필요",IF(AND(AF86&lt;&gt;"",AG86=""),"지급일 필요",IF(AND(AF86&lt;&gt;"",AN86=""),"증빙ID 필요",IF(OR(Y86&lt;0,AF86&lt;0),"금액 오류",IF(AND(Y86&lt;&gt;"",R86&lt;&gt;"",Y86&gt;R86),"계획 초과","정상")))))))))</x:f>
      </x:c>
    </x:row>
    <x:row r="87" ht="24" customHeight="1">
      <x:c r="A87" s="85"/>
      <x:c r="B87" s="85"/>
      <x:c r="C87" s="85"/>
      <x:c r="D87" s="85"/>
      <x:c r="E87" s="86" t="str">
        <x:f>IF(F87="","",IFERROR(VLOOKUP(F87,'02_승인예산'!$A$7:$S$66,2,FALSE),"예산코드 오류"))</x:f>
      </x:c>
      <x:c r="F87" s="85"/>
      <x:c r="G87" s="86" t="str">
        <x:f>IF(F87="","",IFERROR(VLOOKUP(F87,'02_승인예산'!$A$7:$S$66,4,FALSE),"예산코드 오류"))</x:f>
      </x:c>
      <x:c r="H87" s="85"/>
      <x:c r="I87" s="85"/>
      <x:c r="J87" s="85"/>
      <x:c r="K87" s="85"/>
      <x:c r="L87" s="85"/>
      <x:c r="M87" s="95"/>
      <x:c r="N87" s="92"/>
      <x:c r="O87" s="88"/>
      <x:c r="P87" s="85"/>
      <x:c r="Q87" s="89"/>
      <x:c r="R87" s="90" t="str">
        <x:f>IF(OR(O87="",Q87=""),"",O87*Q87*IF(S87="별도",1.1,1))</x:f>
      </x:c>
      <x:c r="S87" s="85"/>
      <x:c r="T87" s="89"/>
      <x:c r="U87" s="89"/>
      <x:c r="V87" s="92"/>
      <x:c r="W87" s="88"/>
      <x:c r="X87" s="89"/>
      <x:c r="Y87" s="90" t="str">
        <x:f>IF(OR(W87="",X87=""),"",W87*X87*IF(S87="별도",1.1,1))</x:f>
      </x:c>
      <x:c r="Z87" s="93"/>
      <x:c r="AA87" s="90" t="str">
        <x:f>IF(OR(R87="",Y87=""),"",R87-Y87)</x:f>
      </x:c>
      <x:c r="AB87" s="90" t="str">
        <x:f>IF($A87="","",IF($B87="취소",0,IF($C87="제외",0,IF($Y87&lt;&gt;"",$Y87,IF($U87&lt;&gt;"",$U87,IF($T87&lt;&gt;"",$T87,$R87))))))</x:f>
      </x:c>
      <x:c r="AC87" s="91"/>
      <x:c r="AD87" s="91"/>
      <x:c r="AE87" s="91"/>
      <x:c r="AF87" s="90" t="str">
        <x:f>IF(AND(AC87="",AD87="",AE87=""),"",SUM(AC87:AE87))</x:f>
      </x:c>
      <x:c r="AG87" s="94"/>
      <x:c r="AH87" s="91" t="str">
        <x:f>IF(Y87="","",Y87-IF(AF87="",0,AF87))</x:f>
      </x:c>
      <x:c r="AI87" s="87"/>
      <x:c r="AJ87" s="87"/>
      <x:c r="AK87" s="87"/>
      <x:c r="AL87" s="87"/>
      <x:c r="AM87" s="87"/>
      <x:c r="AN87" s="85"/>
      <x:c r="AO87" s="85"/>
      <x:c r="AP87" s="85"/>
      <x:c r="AQ87" s="86" t="str">
        <x:f>IF(A87="","",IF(COUNTIF($A$7:$A$156,A87)&gt;1,"ID 중복",IF(F87="","예산 매핑 필요",IF(OR(E87="예산코드 오류",G87="예산코드 오류"),"예산코드 오류",IF(AND(Y87&lt;&gt;"",Z87=""),"구매일 필요",IF(AND(AF87&lt;&gt;"",AG87=""),"지급일 필요",IF(AND(AF87&lt;&gt;"",AN87=""),"증빙ID 필요",IF(OR(Y87&lt;0,AF87&lt;0),"금액 오류",IF(AND(Y87&lt;&gt;"",R87&lt;&gt;"",Y87&gt;R87),"계획 초과","정상")))))))))</x:f>
      </x:c>
    </x:row>
    <x:row r="88" ht="24" customHeight="1">
      <x:c r="A88" s="85"/>
      <x:c r="B88" s="85"/>
      <x:c r="C88" s="85"/>
      <x:c r="D88" s="85"/>
      <x:c r="E88" s="86" t="str">
        <x:f>IF(F88="","",IFERROR(VLOOKUP(F88,'02_승인예산'!$A$7:$S$66,2,FALSE),"예산코드 오류"))</x:f>
      </x:c>
      <x:c r="F88" s="85"/>
      <x:c r="G88" s="86" t="str">
        <x:f>IF(F88="","",IFERROR(VLOOKUP(F88,'02_승인예산'!$A$7:$S$66,4,FALSE),"예산코드 오류"))</x:f>
      </x:c>
      <x:c r="H88" s="85"/>
      <x:c r="I88" s="85"/>
      <x:c r="J88" s="85"/>
      <x:c r="K88" s="85"/>
      <x:c r="L88" s="85"/>
      <x:c r="M88" s="95"/>
      <x:c r="N88" s="92"/>
      <x:c r="O88" s="88"/>
      <x:c r="P88" s="85"/>
      <x:c r="Q88" s="89"/>
      <x:c r="R88" s="90" t="str">
        <x:f>IF(OR(O88="",Q88=""),"",O88*Q88*IF(S88="별도",1.1,1))</x:f>
      </x:c>
      <x:c r="S88" s="85"/>
      <x:c r="T88" s="89"/>
      <x:c r="U88" s="89"/>
      <x:c r="V88" s="92"/>
      <x:c r="W88" s="88"/>
      <x:c r="X88" s="89"/>
      <x:c r="Y88" s="90" t="str">
        <x:f>IF(OR(W88="",X88=""),"",W88*X88*IF(S88="별도",1.1,1))</x:f>
      </x:c>
      <x:c r="Z88" s="93"/>
      <x:c r="AA88" s="90" t="str">
        <x:f>IF(OR(R88="",Y88=""),"",R88-Y88)</x:f>
      </x:c>
      <x:c r="AB88" s="90" t="str">
        <x:f>IF($A88="","",IF($B88="취소",0,IF($C88="제외",0,IF($Y88&lt;&gt;"",$Y88,IF($U88&lt;&gt;"",$U88,IF($T88&lt;&gt;"",$T88,$R88))))))</x:f>
      </x:c>
      <x:c r="AC88" s="91"/>
      <x:c r="AD88" s="91"/>
      <x:c r="AE88" s="91"/>
      <x:c r="AF88" s="90" t="str">
        <x:f>IF(AND(AC88="",AD88="",AE88=""),"",SUM(AC88:AE88))</x:f>
      </x:c>
      <x:c r="AG88" s="94"/>
      <x:c r="AH88" s="91" t="str">
        <x:f>IF(Y88="","",Y88-IF(AF88="",0,AF88))</x:f>
      </x:c>
      <x:c r="AI88" s="87"/>
      <x:c r="AJ88" s="87"/>
      <x:c r="AK88" s="87"/>
      <x:c r="AL88" s="87"/>
      <x:c r="AM88" s="87"/>
      <x:c r="AN88" s="85"/>
      <x:c r="AO88" s="85"/>
      <x:c r="AP88" s="85"/>
      <x:c r="AQ88" s="86" t="str">
        <x:f>IF(A88="","",IF(COUNTIF($A$7:$A$156,A88)&gt;1,"ID 중복",IF(F88="","예산 매핑 필요",IF(OR(E88="예산코드 오류",G88="예산코드 오류"),"예산코드 오류",IF(AND(Y88&lt;&gt;"",Z88=""),"구매일 필요",IF(AND(AF88&lt;&gt;"",AG88=""),"지급일 필요",IF(AND(AF88&lt;&gt;"",AN88=""),"증빙ID 필요",IF(OR(Y88&lt;0,AF88&lt;0),"금액 오류",IF(AND(Y88&lt;&gt;"",R88&lt;&gt;"",Y88&gt;R88),"계획 초과","정상")))))))))</x:f>
      </x:c>
    </x:row>
    <x:row r="89" ht="24" customHeight="1">
      <x:c r="A89" s="85"/>
      <x:c r="B89" s="85"/>
      <x:c r="C89" s="85"/>
      <x:c r="D89" s="85"/>
      <x:c r="E89" s="86" t="str">
        <x:f>IF(F89="","",IFERROR(VLOOKUP(F89,'02_승인예산'!$A$7:$S$66,2,FALSE),"예산코드 오류"))</x:f>
      </x:c>
      <x:c r="F89" s="85"/>
      <x:c r="G89" s="86" t="str">
        <x:f>IF(F89="","",IFERROR(VLOOKUP(F89,'02_승인예산'!$A$7:$S$66,4,FALSE),"예산코드 오류"))</x:f>
      </x:c>
      <x:c r="H89" s="85"/>
      <x:c r="I89" s="85"/>
      <x:c r="J89" s="85"/>
      <x:c r="K89" s="85"/>
      <x:c r="L89" s="85"/>
      <x:c r="M89" s="95"/>
      <x:c r="N89" s="92"/>
      <x:c r="O89" s="88"/>
      <x:c r="P89" s="85"/>
      <x:c r="Q89" s="89"/>
      <x:c r="R89" s="90" t="str">
        <x:f>IF(OR(O89="",Q89=""),"",O89*Q89*IF(S89="별도",1.1,1))</x:f>
      </x:c>
      <x:c r="S89" s="85"/>
      <x:c r="T89" s="89"/>
      <x:c r="U89" s="89"/>
      <x:c r="V89" s="92"/>
      <x:c r="W89" s="88"/>
      <x:c r="X89" s="89"/>
      <x:c r="Y89" s="90" t="str">
        <x:f>IF(OR(W89="",X89=""),"",W89*X89*IF(S89="별도",1.1,1))</x:f>
      </x:c>
      <x:c r="Z89" s="93"/>
      <x:c r="AA89" s="90" t="str">
        <x:f>IF(OR(R89="",Y89=""),"",R89-Y89)</x:f>
      </x:c>
      <x:c r="AB89" s="90" t="str">
        <x:f>IF($A89="","",IF($B89="취소",0,IF($C89="제외",0,IF($Y89&lt;&gt;"",$Y89,IF($U89&lt;&gt;"",$U89,IF($T89&lt;&gt;"",$T89,$R89))))))</x:f>
      </x:c>
      <x:c r="AC89" s="91"/>
      <x:c r="AD89" s="91"/>
      <x:c r="AE89" s="91"/>
      <x:c r="AF89" s="90" t="str">
        <x:f>IF(AND(AC89="",AD89="",AE89=""),"",SUM(AC89:AE89))</x:f>
      </x:c>
      <x:c r="AG89" s="94"/>
      <x:c r="AH89" s="91" t="str">
        <x:f>IF(Y89="","",Y89-IF(AF89="",0,AF89))</x:f>
      </x:c>
      <x:c r="AI89" s="87"/>
      <x:c r="AJ89" s="87"/>
      <x:c r="AK89" s="87"/>
      <x:c r="AL89" s="87"/>
      <x:c r="AM89" s="87"/>
      <x:c r="AN89" s="85"/>
      <x:c r="AO89" s="85"/>
      <x:c r="AP89" s="85"/>
      <x:c r="AQ89" s="86" t="str">
        <x:f>IF(A89="","",IF(COUNTIF($A$7:$A$156,A89)&gt;1,"ID 중복",IF(F89="","예산 매핑 필요",IF(OR(E89="예산코드 오류",G89="예산코드 오류"),"예산코드 오류",IF(AND(Y89&lt;&gt;"",Z89=""),"구매일 필요",IF(AND(AF89&lt;&gt;"",AG89=""),"지급일 필요",IF(AND(AF89&lt;&gt;"",AN89=""),"증빙ID 필요",IF(OR(Y89&lt;0,AF89&lt;0),"금액 오류",IF(AND(Y89&lt;&gt;"",R89&lt;&gt;"",Y89&gt;R89),"계획 초과","정상")))))))))</x:f>
      </x:c>
    </x:row>
    <x:row r="90" ht="24" customHeight="1">
      <x:c r="A90" s="85"/>
      <x:c r="B90" s="85"/>
      <x:c r="C90" s="85"/>
      <x:c r="D90" s="85"/>
      <x:c r="E90" s="86" t="str">
        <x:f>IF(F90="","",IFERROR(VLOOKUP(F90,'02_승인예산'!$A$7:$S$66,2,FALSE),"예산코드 오류"))</x:f>
      </x:c>
      <x:c r="F90" s="85"/>
      <x:c r="G90" s="86" t="str">
        <x:f>IF(F90="","",IFERROR(VLOOKUP(F90,'02_승인예산'!$A$7:$S$66,4,FALSE),"예산코드 오류"))</x:f>
      </x:c>
      <x:c r="H90" s="85"/>
      <x:c r="I90" s="85"/>
      <x:c r="J90" s="85"/>
      <x:c r="K90" s="85"/>
      <x:c r="L90" s="85"/>
      <x:c r="M90" s="95"/>
      <x:c r="N90" s="92"/>
      <x:c r="O90" s="88"/>
      <x:c r="P90" s="85"/>
      <x:c r="Q90" s="89"/>
      <x:c r="R90" s="90" t="str">
        <x:f>IF(OR(O90="",Q90=""),"",O90*Q90*IF(S90="별도",1.1,1))</x:f>
      </x:c>
      <x:c r="S90" s="85"/>
      <x:c r="T90" s="89"/>
      <x:c r="U90" s="89"/>
      <x:c r="V90" s="92"/>
      <x:c r="W90" s="88"/>
      <x:c r="X90" s="89"/>
      <x:c r="Y90" s="90" t="str">
        <x:f>IF(OR(W90="",X90=""),"",W90*X90*IF(S90="별도",1.1,1))</x:f>
      </x:c>
      <x:c r="Z90" s="93"/>
      <x:c r="AA90" s="90" t="str">
        <x:f>IF(OR(R90="",Y90=""),"",R90-Y90)</x:f>
      </x:c>
      <x:c r="AB90" s="90" t="str">
        <x:f>IF($A90="","",IF($B90="취소",0,IF($C90="제외",0,IF($Y90&lt;&gt;"",$Y90,IF($U90&lt;&gt;"",$U90,IF($T90&lt;&gt;"",$T90,$R90))))))</x:f>
      </x:c>
      <x:c r="AC90" s="91"/>
      <x:c r="AD90" s="91"/>
      <x:c r="AE90" s="91"/>
      <x:c r="AF90" s="90" t="str">
        <x:f>IF(AND(AC90="",AD90="",AE90=""),"",SUM(AC90:AE90))</x:f>
      </x:c>
      <x:c r="AG90" s="94"/>
      <x:c r="AH90" s="91" t="str">
        <x:f>IF(Y90="","",Y90-IF(AF90="",0,AF90))</x:f>
      </x:c>
      <x:c r="AI90" s="87"/>
      <x:c r="AJ90" s="87"/>
      <x:c r="AK90" s="87"/>
      <x:c r="AL90" s="87"/>
      <x:c r="AM90" s="87"/>
      <x:c r="AN90" s="85"/>
      <x:c r="AO90" s="85"/>
      <x:c r="AP90" s="85"/>
      <x:c r="AQ90" s="86" t="str">
        <x:f>IF(A90="","",IF(COUNTIF($A$7:$A$156,A90)&gt;1,"ID 중복",IF(F90="","예산 매핑 필요",IF(OR(E90="예산코드 오류",G90="예산코드 오류"),"예산코드 오류",IF(AND(Y90&lt;&gt;"",Z90=""),"구매일 필요",IF(AND(AF90&lt;&gt;"",AG90=""),"지급일 필요",IF(AND(AF90&lt;&gt;"",AN90=""),"증빙ID 필요",IF(OR(Y90&lt;0,AF90&lt;0),"금액 오류",IF(AND(Y90&lt;&gt;"",R90&lt;&gt;"",Y90&gt;R90),"계획 초과","정상")))))))))</x:f>
      </x:c>
    </x:row>
    <x:row r="91" ht="24" customHeight="1">
      <x:c r="A91" s="85"/>
      <x:c r="B91" s="85"/>
      <x:c r="C91" s="85"/>
      <x:c r="D91" s="85"/>
      <x:c r="E91" s="86" t="str">
        <x:f>IF(F91="","",IFERROR(VLOOKUP(F91,'02_승인예산'!$A$7:$S$66,2,FALSE),"예산코드 오류"))</x:f>
      </x:c>
      <x:c r="F91" s="85"/>
      <x:c r="G91" s="86" t="str">
        <x:f>IF(F91="","",IFERROR(VLOOKUP(F91,'02_승인예산'!$A$7:$S$66,4,FALSE),"예산코드 오류"))</x:f>
      </x:c>
      <x:c r="H91" s="85"/>
      <x:c r="I91" s="85"/>
      <x:c r="J91" s="85"/>
      <x:c r="K91" s="85"/>
      <x:c r="L91" s="85"/>
      <x:c r="M91" s="95"/>
      <x:c r="N91" s="92"/>
      <x:c r="O91" s="88"/>
      <x:c r="P91" s="85"/>
      <x:c r="Q91" s="89"/>
      <x:c r="R91" s="90" t="str">
        <x:f>IF(OR(O91="",Q91=""),"",O91*Q91*IF(S91="별도",1.1,1))</x:f>
      </x:c>
      <x:c r="S91" s="85"/>
      <x:c r="T91" s="89"/>
      <x:c r="U91" s="89"/>
      <x:c r="V91" s="92"/>
      <x:c r="W91" s="88"/>
      <x:c r="X91" s="89"/>
      <x:c r="Y91" s="90" t="str">
        <x:f>IF(OR(W91="",X91=""),"",W91*X91*IF(S91="별도",1.1,1))</x:f>
      </x:c>
      <x:c r="Z91" s="93"/>
      <x:c r="AA91" s="90" t="str">
        <x:f>IF(OR(R91="",Y91=""),"",R91-Y91)</x:f>
      </x:c>
      <x:c r="AB91" s="90" t="str">
        <x:f>IF($A91="","",IF($B91="취소",0,IF($C91="제외",0,IF($Y91&lt;&gt;"",$Y91,IF($U91&lt;&gt;"",$U91,IF($T91&lt;&gt;"",$T91,$R91))))))</x:f>
      </x:c>
      <x:c r="AC91" s="91"/>
      <x:c r="AD91" s="91"/>
      <x:c r="AE91" s="91"/>
      <x:c r="AF91" s="90" t="str">
        <x:f>IF(AND(AC91="",AD91="",AE91=""),"",SUM(AC91:AE91))</x:f>
      </x:c>
      <x:c r="AG91" s="94"/>
      <x:c r="AH91" s="91" t="str">
        <x:f>IF(Y91="","",Y91-IF(AF91="",0,AF91))</x:f>
      </x:c>
      <x:c r="AI91" s="87"/>
      <x:c r="AJ91" s="87"/>
      <x:c r="AK91" s="87"/>
      <x:c r="AL91" s="87"/>
      <x:c r="AM91" s="87"/>
      <x:c r="AN91" s="85"/>
      <x:c r="AO91" s="85"/>
      <x:c r="AP91" s="85"/>
      <x:c r="AQ91" s="86" t="str">
        <x:f>IF(A91="","",IF(COUNTIF($A$7:$A$156,A91)&gt;1,"ID 중복",IF(F91="","예산 매핑 필요",IF(OR(E91="예산코드 오류",G91="예산코드 오류"),"예산코드 오류",IF(AND(Y91&lt;&gt;"",Z91=""),"구매일 필요",IF(AND(AF91&lt;&gt;"",AG91=""),"지급일 필요",IF(AND(AF91&lt;&gt;"",AN91=""),"증빙ID 필요",IF(OR(Y91&lt;0,AF91&lt;0),"금액 오류",IF(AND(Y91&lt;&gt;"",R91&lt;&gt;"",Y91&gt;R91),"계획 초과","정상")))))))))</x:f>
      </x:c>
    </x:row>
    <x:row r="92" ht="24" customHeight="1">
      <x:c r="A92" s="85"/>
      <x:c r="B92" s="85"/>
      <x:c r="C92" s="85"/>
      <x:c r="D92" s="85"/>
      <x:c r="E92" s="86" t="str">
        <x:f>IF(F92="","",IFERROR(VLOOKUP(F92,'02_승인예산'!$A$7:$S$66,2,FALSE),"예산코드 오류"))</x:f>
      </x:c>
      <x:c r="F92" s="85"/>
      <x:c r="G92" s="86" t="str">
        <x:f>IF(F92="","",IFERROR(VLOOKUP(F92,'02_승인예산'!$A$7:$S$66,4,FALSE),"예산코드 오류"))</x:f>
      </x:c>
      <x:c r="H92" s="85"/>
      <x:c r="I92" s="85"/>
      <x:c r="J92" s="85"/>
      <x:c r="K92" s="85"/>
      <x:c r="L92" s="85"/>
      <x:c r="M92" s="95"/>
      <x:c r="N92" s="92"/>
      <x:c r="O92" s="88"/>
      <x:c r="P92" s="85"/>
      <x:c r="Q92" s="89"/>
      <x:c r="R92" s="90" t="str">
        <x:f>IF(OR(O92="",Q92=""),"",O92*Q92*IF(S92="별도",1.1,1))</x:f>
      </x:c>
      <x:c r="S92" s="85"/>
      <x:c r="T92" s="89"/>
      <x:c r="U92" s="89"/>
      <x:c r="V92" s="92"/>
      <x:c r="W92" s="88"/>
      <x:c r="X92" s="89"/>
      <x:c r="Y92" s="90" t="str">
        <x:f>IF(OR(W92="",X92=""),"",W92*X92*IF(S92="별도",1.1,1))</x:f>
      </x:c>
      <x:c r="Z92" s="93"/>
      <x:c r="AA92" s="90" t="str">
        <x:f>IF(OR(R92="",Y92=""),"",R92-Y92)</x:f>
      </x:c>
      <x:c r="AB92" s="90" t="str">
        <x:f>IF($A92="","",IF($B92="취소",0,IF($C92="제외",0,IF($Y92&lt;&gt;"",$Y92,IF($U92&lt;&gt;"",$U92,IF($T92&lt;&gt;"",$T92,$R92))))))</x:f>
      </x:c>
      <x:c r="AC92" s="91"/>
      <x:c r="AD92" s="91"/>
      <x:c r="AE92" s="91"/>
      <x:c r="AF92" s="90" t="str">
        <x:f>IF(AND(AC92="",AD92="",AE92=""),"",SUM(AC92:AE92))</x:f>
      </x:c>
      <x:c r="AG92" s="94"/>
      <x:c r="AH92" s="91" t="str">
        <x:f>IF(Y92="","",Y92-IF(AF92="",0,AF92))</x:f>
      </x:c>
      <x:c r="AI92" s="87"/>
      <x:c r="AJ92" s="87"/>
      <x:c r="AK92" s="87"/>
      <x:c r="AL92" s="87"/>
      <x:c r="AM92" s="87"/>
      <x:c r="AN92" s="85"/>
      <x:c r="AO92" s="85"/>
      <x:c r="AP92" s="85"/>
      <x:c r="AQ92" s="86" t="str">
        <x:f>IF(A92="","",IF(COUNTIF($A$7:$A$156,A92)&gt;1,"ID 중복",IF(F92="","예산 매핑 필요",IF(OR(E92="예산코드 오류",G92="예산코드 오류"),"예산코드 오류",IF(AND(Y92&lt;&gt;"",Z92=""),"구매일 필요",IF(AND(AF92&lt;&gt;"",AG92=""),"지급일 필요",IF(AND(AF92&lt;&gt;"",AN92=""),"증빙ID 필요",IF(OR(Y92&lt;0,AF92&lt;0),"금액 오류",IF(AND(Y92&lt;&gt;"",R92&lt;&gt;"",Y92&gt;R92),"계획 초과","정상")))))))))</x:f>
      </x:c>
    </x:row>
    <x:row r="93" ht="24" customHeight="1">
      <x:c r="A93" s="85"/>
      <x:c r="B93" s="85"/>
      <x:c r="C93" s="85"/>
      <x:c r="D93" s="85"/>
      <x:c r="E93" s="86" t="str">
        <x:f>IF(F93="","",IFERROR(VLOOKUP(F93,'02_승인예산'!$A$7:$S$66,2,FALSE),"예산코드 오류"))</x:f>
      </x:c>
      <x:c r="F93" s="85"/>
      <x:c r="G93" s="86" t="str">
        <x:f>IF(F93="","",IFERROR(VLOOKUP(F93,'02_승인예산'!$A$7:$S$66,4,FALSE),"예산코드 오류"))</x:f>
      </x:c>
      <x:c r="H93" s="85"/>
      <x:c r="I93" s="85"/>
      <x:c r="J93" s="85"/>
      <x:c r="K93" s="85"/>
      <x:c r="L93" s="85"/>
      <x:c r="M93" s="95"/>
      <x:c r="N93" s="92"/>
      <x:c r="O93" s="88"/>
      <x:c r="P93" s="85"/>
      <x:c r="Q93" s="89"/>
      <x:c r="R93" s="90" t="str">
        <x:f>IF(OR(O93="",Q93=""),"",O93*Q93*IF(S93="별도",1.1,1))</x:f>
      </x:c>
      <x:c r="S93" s="85"/>
      <x:c r="T93" s="89"/>
      <x:c r="U93" s="89"/>
      <x:c r="V93" s="92"/>
      <x:c r="W93" s="88"/>
      <x:c r="X93" s="89"/>
      <x:c r="Y93" s="90" t="str">
        <x:f>IF(OR(W93="",X93=""),"",W93*X93*IF(S93="별도",1.1,1))</x:f>
      </x:c>
      <x:c r="Z93" s="93"/>
      <x:c r="AA93" s="90" t="str">
        <x:f>IF(OR(R93="",Y93=""),"",R93-Y93)</x:f>
      </x:c>
      <x:c r="AB93" s="90" t="str">
        <x:f>IF($A93="","",IF($B93="취소",0,IF($C93="제외",0,IF($Y93&lt;&gt;"",$Y93,IF($U93&lt;&gt;"",$U93,IF($T93&lt;&gt;"",$T93,$R93))))))</x:f>
      </x:c>
      <x:c r="AC93" s="91"/>
      <x:c r="AD93" s="91"/>
      <x:c r="AE93" s="91"/>
      <x:c r="AF93" s="90" t="str">
        <x:f>IF(AND(AC93="",AD93="",AE93=""),"",SUM(AC93:AE93))</x:f>
      </x:c>
      <x:c r="AG93" s="94"/>
      <x:c r="AH93" s="91" t="str">
        <x:f>IF(Y93="","",Y93-IF(AF93="",0,AF93))</x:f>
      </x:c>
      <x:c r="AI93" s="87"/>
      <x:c r="AJ93" s="87"/>
      <x:c r="AK93" s="87"/>
      <x:c r="AL93" s="87"/>
      <x:c r="AM93" s="87"/>
      <x:c r="AN93" s="85"/>
      <x:c r="AO93" s="85"/>
      <x:c r="AP93" s="85"/>
      <x:c r="AQ93" s="86" t="str">
        <x:f>IF(A93="","",IF(COUNTIF($A$7:$A$156,A93)&gt;1,"ID 중복",IF(F93="","예산 매핑 필요",IF(OR(E93="예산코드 오류",G93="예산코드 오류"),"예산코드 오류",IF(AND(Y93&lt;&gt;"",Z93=""),"구매일 필요",IF(AND(AF93&lt;&gt;"",AG93=""),"지급일 필요",IF(AND(AF93&lt;&gt;"",AN93=""),"증빙ID 필요",IF(OR(Y93&lt;0,AF93&lt;0),"금액 오류",IF(AND(Y93&lt;&gt;"",R93&lt;&gt;"",Y93&gt;R93),"계획 초과","정상")))))))))</x:f>
      </x:c>
    </x:row>
    <x:row r="94" ht="24" customHeight="1">
      <x:c r="A94" s="85"/>
      <x:c r="B94" s="85"/>
      <x:c r="C94" s="85"/>
      <x:c r="D94" s="85"/>
      <x:c r="E94" s="86" t="str">
        <x:f>IF(F94="","",IFERROR(VLOOKUP(F94,'02_승인예산'!$A$7:$S$66,2,FALSE),"예산코드 오류"))</x:f>
      </x:c>
      <x:c r="F94" s="85"/>
      <x:c r="G94" s="86" t="str">
        <x:f>IF(F94="","",IFERROR(VLOOKUP(F94,'02_승인예산'!$A$7:$S$66,4,FALSE),"예산코드 오류"))</x:f>
      </x:c>
      <x:c r="H94" s="85"/>
      <x:c r="I94" s="85"/>
      <x:c r="J94" s="85"/>
      <x:c r="K94" s="85"/>
      <x:c r="L94" s="85"/>
      <x:c r="M94" s="95"/>
      <x:c r="N94" s="92"/>
      <x:c r="O94" s="88"/>
      <x:c r="P94" s="85"/>
      <x:c r="Q94" s="89"/>
      <x:c r="R94" s="90" t="str">
        <x:f>IF(OR(O94="",Q94=""),"",O94*Q94*IF(S94="별도",1.1,1))</x:f>
      </x:c>
      <x:c r="S94" s="85"/>
      <x:c r="T94" s="89"/>
      <x:c r="U94" s="89"/>
      <x:c r="V94" s="92"/>
      <x:c r="W94" s="88"/>
      <x:c r="X94" s="89"/>
      <x:c r="Y94" s="90" t="str">
        <x:f>IF(OR(W94="",X94=""),"",W94*X94*IF(S94="별도",1.1,1))</x:f>
      </x:c>
      <x:c r="Z94" s="93"/>
      <x:c r="AA94" s="90" t="str">
        <x:f>IF(OR(R94="",Y94=""),"",R94-Y94)</x:f>
      </x:c>
      <x:c r="AB94" s="90" t="str">
        <x:f>IF($A94="","",IF($B94="취소",0,IF($C94="제외",0,IF($Y94&lt;&gt;"",$Y94,IF($U94&lt;&gt;"",$U94,IF($T94&lt;&gt;"",$T94,$R94))))))</x:f>
      </x:c>
      <x:c r="AC94" s="91"/>
      <x:c r="AD94" s="91"/>
      <x:c r="AE94" s="91"/>
      <x:c r="AF94" s="90" t="str">
        <x:f>IF(AND(AC94="",AD94="",AE94=""),"",SUM(AC94:AE94))</x:f>
      </x:c>
      <x:c r="AG94" s="94"/>
      <x:c r="AH94" s="91" t="str">
        <x:f>IF(Y94="","",Y94-IF(AF94="",0,AF94))</x:f>
      </x:c>
      <x:c r="AI94" s="87"/>
      <x:c r="AJ94" s="87"/>
      <x:c r="AK94" s="87"/>
      <x:c r="AL94" s="87"/>
      <x:c r="AM94" s="87"/>
      <x:c r="AN94" s="85"/>
      <x:c r="AO94" s="85"/>
      <x:c r="AP94" s="85"/>
      <x:c r="AQ94" s="86" t="str">
        <x:f>IF(A94="","",IF(COUNTIF($A$7:$A$156,A94)&gt;1,"ID 중복",IF(F94="","예산 매핑 필요",IF(OR(E94="예산코드 오류",G94="예산코드 오류"),"예산코드 오류",IF(AND(Y94&lt;&gt;"",Z94=""),"구매일 필요",IF(AND(AF94&lt;&gt;"",AG94=""),"지급일 필요",IF(AND(AF94&lt;&gt;"",AN94=""),"증빙ID 필요",IF(OR(Y94&lt;0,AF94&lt;0),"금액 오류",IF(AND(Y94&lt;&gt;"",R94&lt;&gt;"",Y94&gt;R94),"계획 초과","정상")))))))))</x:f>
      </x:c>
    </x:row>
    <x:row r="95" ht="24" customHeight="1">
      <x:c r="A95" s="85"/>
      <x:c r="B95" s="85"/>
      <x:c r="C95" s="85"/>
      <x:c r="D95" s="85"/>
      <x:c r="E95" s="86" t="str">
        <x:f>IF(F95="","",IFERROR(VLOOKUP(F95,'02_승인예산'!$A$7:$S$66,2,FALSE),"예산코드 오류"))</x:f>
      </x:c>
      <x:c r="F95" s="85"/>
      <x:c r="G95" s="86" t="str">
        <x:f>IF(F95="","",IFERROR(VLOOKUP(F95,'02_승인예산'!$A$7:$S$66,4,FALSE),"예산코드 오류"))</x:f>
      </x:c>
      <x:c r="H95" s="85"/>
      <x:c r="I95" s="85"/>
      <x:c r="J95" s="85"/>
      <x:c r="K95" s="85"/>
      <x:c r="L95" s="85"/>
      <x:c r="M95" s="95"/>
      <x:c r="N95" s="92"/>
      <x:c r="O95" s="88"/>
      <x:c r="P95" s="85"/>
      <x:c r="Q95" s="89"/>
      <x:c r="R95" s="90" t="str">
        <x:f>IF(OR(O95="",Q95=""),"",O95*Q95*IF(S95="별도",1.1,1))</x:f>
      </x:c>
      <x:c r="S95" s="85"/>
      <x:c r="T95" s="89"/>
      <x:c r="U95" s="89"/>
      <x:c r="V95" s="92"/>
      <x:c r="W95" s="88"/>
      <x:c r="X95" s="89"/>
      <x:c r="Y95" s="90" t="str">
        <x:f>IF(OR(W95="",X95=""),"",W95*X95*IF(S95="별도",1.1,1))</x:f>
      </x:c>
      <x:c r="Z95" s="93"/>
      <x:c r="AA95" s="90" t="str">
        <x:f>IF(OR(R95="",Y95=""),"",R95-Y95)</x:f>
      </x:c>
      <x:c r="AB95" s="90" t="str">
        <x:f>IF($A95="","",IF($B95="취소",0,IF($C95="제외",0,IF($Y95&lt;&gt;"",$Y95,IF($U95&lt;&gt;"",$U95,IF($T95&lt;&gt;"",$T95,$R95))))))</x:f>
      </x:c>
      <x:c r="AC95" s="91"/>
      <x:c r="AD95" s="91"/>
      <x:c r="AE95" s="91"/>
      <x:c r="AF95" s="90" t="str">
        <x:f>IF(AND(AC95="",AD95="",AE95=""),"",SUM(AC95:AE95))</x:f>
      </x:c>
      <x:c r="AG95" s="94"/>
      <x:c r="AH95" s="91" t="str">
        <x:f>IF(Y95="","",Y95-IF(AF95="",0,AF95))</x:f>
      </x:c>
      <x:c r="AI95" s="87"/>
      <x:c r="AJ95" s="87"/>
      <x:c r="AK95" s="87"/>
      <x:c r="AL95" s="87"/>
      <x:c r="AM95" s="87"/>
      <x:c r="AN95" s="85"/>
      <x:c r="AO95" s="85"/>
      <x:c r="AP95" s="85"/>
      <x:c r="AQ95" s="86" t="str">
        <x:f>IF(A95="","",IF(COUNTIF($A$7:$A$156,A95)&gt;1,"ID 중복",IF(F95="","예산 매핑 필요",IF(OR(E95="예산코드 오류",G95="예산코드 오류"),"예산코드 오류",IF(AND(Y95&lt;&gt;"",Z95=""),"구매일 필요",IF(AND(AF95&lt;&gt;"",AG95=""),"지급일 필요",IF(AND(AF95&lt;&gt;"",AN95=""),"증빙ID 필요",IF(OR(Y95&lt;0,AF95&lt;0),"금액 오류",IF(AND(Y95&lt;&gt;"",R95&lt;&gt;"",Y95&gt;R95),"계획 초과","정상")))))))))</x:f>
      </x:c>
    </x:row>
    <x:row r="96" ht="24" customHeight="1">
      <x:c r="A96" s="85"/>
      <x:c r="B96" s="85"/>
      <x:c r="C96" s="85"/>
      <x:c r="D96" s="85"/>
      <x:c r="E96" s="86" t="str">
        <x:f>IF(F96="","",IFERROR(VLOOKUP(F96,'02_승인예산'!$A$7:$S$66,2,FALSE),"예산코드 오류"))</x:f>
      </x:c>
      <x:c r="F96" s="85"/>
      <x:c r="G96" s="86" t="str">
        <x:f>IF(F96="","",IFERROR(VLOOKUP(F96,'02_승인예산'!$A$7:$S$66,4,FALSE),"예산코드 오류"))</x:f>
      </x:c>
      <x:c r="H96" s="85"/>
      <x:c r="I96" s="85"/>
      <x:c r="J96" s="85"/>
      <x:c r="K96" s="85"/>
      <x:c r="L96" s="85"/>
      <x:c r="M96" s="95"/>
      <x:c r="N96" s="92"/>
      <x:c r="O96" s="88"/>
      <x:c r="P96" s="85"/>
      <x:c r="Q96" s="89"/>
      <x:c r="R96" s="90" t="str">
        <x:f>IF(OR(O96="",Q96=""),"",O96*Q96*IF(S96="별도",1.1,1))</x:f>
      </x:c>
      <x:c r="S96" s="85"/>
      <x:c r="T96" s="89"/>
      <x:c r="U96" s="89"/>
      <x:c r="V96" s="92"/>
      <x:c r="W96" s="88"/>
      <x:c r="X96" s="89"/>
      <x:c r="Y96" s="90" t="str">
        <x:f>IF(OR(W96="",X96=""),"",W96*X96*IF(S96="별도",1.1,1))</x:f>
      </x:c>
      <x:c r="Z96" s="93"/>
      <x:c r="AA96" s="90" t="str">
        <x:f>IF(OR(R96="",Y96=""),"",R96-Y96)</x:f>
      </x:c>
      <x:c r="AB96" s="90" t="str">
        <x:f>IF($A96="","",IF($B96="취소",0,IF($C96="제외",0,IF($Y96&lt;&gt;"",$Y96,IF($U96&lt;&gt;"",$U96,IF($T96&lt;&gt;"",$T96,$R96))))))</x:f>
      </x:c>
      <x:c r="AC96" s="91"/>
      <x:c r="AD96" s="91"/>
      <x:c r="AE96" s="91"/>
      <x:c r="AF96" s="90" t="str">
        <x:f>IF(AND(AC96="",AD96="",AE96=""),"",SUM(AC96:AE96))</x:f>
      </x:c>
      <x:c r="AG96" s="94"/>
      <x:c r="AH96" s="91" t="str">
        <x:f>IF(Y96="","",Y96-IF(AF96="",0,AF96))</x:f>
      </x:c>
      <x:c r="AI96" s="87"/>
      <x:c r="AJ96" s="87"/>
      <x:c r="AK96" s="87"/>
      <x:c r="AL96" s="87"/>
      <x:c r="AM96" s="87"/>
      <x:c r="AN96" s="85"/>
      <x:c r="AO96" s="85"/>
      <x:c r="AP96" s="85"/>
      <x:c r="AQ96" s="86" t="str">
        <x:f>IF(A96="","",IF(COUNTIF($A$7:$A$156,A96)&gt;1,"ID 중복",IF(F96="","예산 매핑 필요",IF(OR(E96="예산코드 오류",G96="예산코드 오류"),"예산코드 오류",IF(AND(Y96&lt;&gt;"",Z96=""),"구매일 필요",IF(AND(AF96&lt;&gt;"",AG96=""),"지급일 필요",IF(AND(AF96&lt;&gt;"",AN96=""),"증빙ID 필요",IF(OR(Y96&lt;0,AF96&lt;0),"금액 오류",IF(AND(Y96&lt;&gt;"",R96&lt;&gt;"",Y96&gt;R96),"계획 초과","정상")))))))))</x:f>
      </x:c>
    </x:row>
    <x:row r="97" ht="24" customHeight="1">
      <x:c r="A97" s="85"/>
      <x:c r="B97" s="85"/>
      <x:c r="C97" s="85"/>
      <x:c r="D97" s="85"/>
      <x:c r="E97" s="86" t="str">
        <x:f>IF(F97="","",IFERROR(VLOOKUP(F97,'02_승인예산'!$A$7:$S$66,2,FALSE),"예산코드 오류"))</x:f>
      </x:c>
      <x:c r="F97" s="85"/>
      <x:c r="G97" s="86" t="str">
        <x:f>IF(F97="","",IFERROR(VLOOKUP(F97,'02_승인예산'!$A$7:$S$66,4,FALSE),"예산코드 오류"))</x:f>
      </x:c>
      <x:c r="H97" s="85"/>
      <x:c r="I97" s="85"/>
      <x:c r="J97" s="85"/>
      <x:c r="K97" s="85"/>
      <x:c r="L97" s="85"/>
      <x:c r="M97" s="95"/>
      <x:c r="N97" s="92"/>
      <x:c r="O97" s="88"/>
      <x:c r="P97" s="85"/>
      <x:c r="Q97" s="89"/>
      <x:c r="R97" s="90" t="str">
        <x:f>IF(OR(O97="",Q97=""),"",O97*Q97*IF(S97="별도",1.1,1))</x:f>
      </x:c>
      <x:c r="S97" s="85"/>
      <x:c r="T97" s="89"/>
      <x:c r="U97" s="89"/>
      <x:c r="V97" s="92"/>
      <x:c r="W97" s="88"/>
      <x:c r="X97" s="89"/>
      <x:c r="Y97" s="90" t="str">
        <x:f>IF(OR(W97="",X97=""),"",W97*X97*IF(S97="별도",1.1,1))</x:f>
      </x:c>
      <x:c r="Z97" s="93"/>
      <x:c r="AA97" s="90" t="str">
        <x:f>IF(OR(R97="",Y97=""),"",R97-Y97)</x:f>
      </x:c>
      <x:c r="AB97" s="90" t="str">
        <x:f>IF($A97="","",IF($B97="취소",0,IF($C97="제외",0,IF($Y97&lt;&gt;"",$Y97,IF($U97&lt;&gt;"",$U97,IF($T97&lt;&gt;"",$T97,$R97))))))</x:f>
      </x:c>
      <x:c r="AC97" s="91"/>
      <x:c r="AD97" s="91"/>
      <x:c r="AE97" s="91"/>
      <x:c r="AF97" s="90" t="str">
        <x:f>IF(AND(AC97="",AD97="",AE97=""),"",SUM(AC97:AE97))</x:f>
      </x:c>
      <x:c r="AG97" s="94"/>
      <x:c r="AH97" s="91" t="str">
        <x:f>IF(Y97="","",Y97-IF(AF97="",0,AF97))</x:f>
      </x:c>
      <x:c r="AI97" s="87"/>
      <x:c r="AJ97" s="87"/>
      <x:c r="AK97" s="87"/>
      <x:c r="AL97" s="87"/>
      <x:c r="AM97" s="87"/>
      <x:c r="AN97" s="85"/>
      <x:c r="AO97" s="85"/>
      <x:c r="AP97" s="85"/>
      <x:c r="AQ97" s="86" t="str">
        <x:f>IF(A97="","",IF(COUNTIF($A$7:$A$156,A97)&gt;1,"ID 중복",IF(F97="","예산 매핑 필요",IF(OR(E97="예산코드 오류",G97="예산코드 오류"),"예산코드 오류",IF(AND(Y97&lt;&gt;"",Z97=""),"구매일 필요",IF(AND(AF97&lt;&gt;"",AG97=""),"지급일 필요",IF(AND(AF97&lt;&gt;"",AN97=""),"증빙ID 필요",IF(OR(Y97&lt;0,AF97&lt;0),"금액 오류",IF(AND(Y97&lt;&gt;"",R97&lt;&gt;"",Y97&gt;R97),"계획 초과","정상")))))))))</x:f>
      </x:c>
    </x:row>
    <x:row r="98" ht="24" customHeight="1">
      <x:c r="A98" s="85"/>
      <x:c r="B98" s="85"/>
      <x:c r="C98" s="85"/>
      <x:c r="D98" s="85"/>
      <x:c r="E98" s="86" t="str">
        <x:f>IF(F98="","",IFERROR(VLOOKUP(F98,'02_승인예산'!$A$7:$S$66,2,FALSE),"예산코드 오류"))</x:f>
      </x:c>
      <x:c r="F98" s="85"/>
      <x:c r="G98" s="86" t="str">
        <x:f>IF(F98="","",IFERROR(VLOOKUP(F98,'02_승인예산'!$A$7:$S$66,4,FALSE),"예산코드 오류"))</x:f>
      </x:c>
      <x:c r="H98" s="85"/>
      <x:c r="I98" s="85"/>
      <x:c r="J98" s="85"/>
      <x:c r="K98" s="85"/>
      <x:c r="L98" s="85"/>
      <x:c r="M98" s="95"/>
      <x:c r="N98" s="92"/>
      <x:c r="O98" s="88"/>
      <x:c r="P98" s="85"/>
      <x:c r="Q98" s="89"/>
      <x:c r="R98" s="90" t="str">
        <x:f>IF(OR(O98="",Q98=""),"",O98*Q98*IF(S98="별도",1.1,1))</x:f>
      </x:c>
      <x:c r="S98" s="85"/>
      <x:c r="T98" s="89"/>
      <x:c r="U98" s="89"/>
      <x:c r="V98" s="92"/>
      <x:c r="W98" s="88"/>
      <x:c r="X98" s="89"/>
      <x:c r="Y98" s="90" t="str">
        <x:f>IF(OR(W98="",X98=""),"",W98*X98*IF(S98="별도",1.1,1))</x:f>
      </x:c>
      <x:c r="Z98" s="93"/>
      <x:c r="AA98" s="90" t="str">
        <x:f>IF(OR(R98="",Y98=""),"",R98-Y98)</x:f>
      </x:c>
      <x:c r="AB98" s="90" t="str">
        <x:f>IF($A98="","",IF($B98="취소",0,IF($C98="제외",0,IF($Y98&lt;&gt;"",$Y98,IF($U98&lt;&gt;"",$U98,IF($T98&lt;&gt;"",$T98,$R98))))))</x:f>
      </x:c>
      <x:c r="AC98" s="91"/>
      <x:c r="AD98" s="91"/>
      <x:c r="AE98" s="91"/>
      <x:c r="AF98" s="90" t="str">
        <x:f>IF(AND(AC98="",AD98="",AE98=""),"",SUM(AC98:AE98))</x:f>
      </x:c>
      <x:c r="AG98" s="94"/>
      <x:c r="AH98" s="91" t="str">
        <x:f>IF(Y98="","",Y98-IF(AF98="",0,AF98))</x:f>
      </x:c>
      <x:c r="AI98" s="87"/>
      <x:c r="AJ98" s="87"/>
      <x:c r="AK98" s="87"/>
      <x:c r="AL98" s="87"/>
      <x:c r="AM98" s="87"/>
      <x:c r="AN98" s="85"/>
      <x:c r="AO98" s="85"/>
      <x:c r="AP98" s="85"/>
      <x:c r="AQ98" s="86" t="str">
        <x:f>IF(A98="","",IF(COUNTIF($A$7:$A$156,A98)&gt;1,"ID 중복",IF(F98="","예산 매핑 필요",IF(OR(E98="예산코드 오류",G98="예산코드 오류"),"예산코드 오류",IF(AND(Y98&lt;&gt;"",Z98=""),"구매일 필요",IF(AND(AF98&lt;&gt;"",AG98=""),"지급일 필요",IF(AND(AF98&lt;&gt;"",AN98=""),"증빙ID 필요",IF(OR(Y98&lt;0,AF98&lt;0),"금액 오류",IF(AND(Y98&lt;&gt;"",R98&lt;&gt;"",Y98&gt;R98),"계획 초과","정상")))))))))</x:f>
      </x:c>
    </x:row>
    <x:row r="99" ht="24" customHeight="1">
      <x:c r="A99" s="85"/>
      <x:c r="B99" s="85"/>
      <x:c r="C99" s="85"/>
      <x:c r="D99" s="85"/>
      <x:c r="E99" s="86" t="str">
        <x:f>IF(F99="","",IFERROR(VLOOKUP(F99,'02_승인예산'!$A$7:$S$66,2,FALSE),"예산코드 오류"))</x:f>
      </x:c>
      <x:c r="F99" s="85"/>
      <x:c r="G99" s="86" t="str">
        <x:f>IF(F99="","",IFERROR(VLOOKUP(F99,'02_승인예산'!$A$7:$S$66,4,FALSE),"예산코드 오류"))</x:f>
      </x:c>
      <x:c r="H99" s="85"/>
      <x:c r="I99" s="85"/>
      <x:c r="J99" s="85"/>
      <x:c r="K99" s="85"/>
      <x:c r="L99" s="85"/>
      <x:c r="M99" s="95"/>
      <x:c r="N99" s="92"/>
      <x:c r="O99" s="88"/>
      <x:c r="P99" s="85"/>
      <x:c r="Q99" s="89"/>
      <x:c r="R99" s="90" t="str">
        <x:f>IF(OR(O99="",Q99=""),"",O99*Q99*IF(S99="별도",1.1,1))</x:f>
      </x:c>
      <x:c r="S99" s="85"/>
      <x:c r="T99" s="89"/>
      <x:c r="U99" s="89"/>
      <x:c r="V99" s="92"/>
      <x:c r="W99" s="88"/>
      <x:c r="X99" s="89"/>
      <x:c r="Y99" s="90" t="str">
        <x:f>IF(OR(W99="",X99=""),"",W99*X99*IF(S99="별도",1.1,1))</x:f>
      </x:c>
      <x:c r="Z99" s="93"/>
      <x:c r="AA99" s="90" t="str">
        <x:f>IF(OR(R99="",Y99=""),"",R99-Y99)</x:f>
      </x:c>
      <x:c r="AB99" s="90" t="str">
        <x:f>IF($A99="","",IF($B99="취소",0,IF($C99="제외",0,IF($Y99&lt;&gt;"",$Y99,IF($U99&lt;&gt;"",$U99,IF($T99&lt;&gt;"",$T99,$R99))))))</x:f>
      </x:c>
      <x:c r="AC99" s="91"/>
      <x:c r="AD99" s="91"/>
      <x:c r="AE99" s="91"/>
      <x:c r="AF99" s="90" t="str">
        <x:f>IF(AND(AC99="",AD99="",AE99=""),"",SUM(AC99:AE99))</x:f>
      </x:c>
      <x:c r="AG99" s="94"/>
      <x:c r="AH99" s="91" t="str">
        <x:f>IF(Y99="","",Y99-IF(AF99="",0,AF99))</x:f>
      </x:c>
      <x:c r="AI99" s="87"/>
      <x:c r="AJ99" s="87"/>
      <x:c r="AK99" s="87"/>
      <x:c r="AL99" s="87"/>
      <x:c r="AM99" s="87"/>
      <x:c r="AN99" s="85"/>
      <x:c r="AO99" s="85"/>
      <x:c r="AP99" s="85"/>
      <x:c r="AQ99" s="86" t="str">
        <x:f>IF(A99="","",IF(COUNTIF($A$7:$A$156,A99)&gt;1,"ID 중복",IF(F99="","예산 매핑 필요",IF(OR(E99="예산코드 오류",G99="예산코드 오류"),"예산코드 오류",IF(AND(Y99&lt;&gt;"",Z99=""),"구매일 필요",IF(AND(AF99&lt;&gt;"",AG99=""),"지급일 필요",IF(AND(AF99&lt;&gt;"",AN99=""),"증빙ID 필요",IF(OR(Y99&lt;0,AF99&lt;0),"금액 오류",IF(AND(Y99&lt;&gt;"",R99&lt;&gt;"",Y99&gt;R99),"계획 초과","정상")))))))))</x:f>
      </x:c>
    </x:row>
    <x:row r="100" ht="24" customHeight="1">
      <x:c r="A100" s="85"/>
      <x:c r="B100" s="85"/>
      <x:c r="C100" s="85"/>
      <x:c r="D100" s="85"/>
      <x:c r="E100" s="86" t="str">
        <x:f>IF(F100="","",IFERROR(VLOOKUP(F100,'02_승인예산'!$A$7:$S$66,2,FALSE),"예산코드 오류"))</x:f>
      </x:c>
      <x:c r="F100" s="85"/>
      <x:c r="G100" s="86" t="str">
        <x:f>IF(F100="","",IFERROR(VLOOKUP(F100,'02_승인예산'!$A$7:$S$66,4,FALSE),"예산코드 오류"))</x:f>
      </x:c>
      <x:c r="H100" s="85"/>
      <x:c r="I100" s="85"/>
      <x:c r="J100" s="85"/>
      <x:c r="K100" s="85"/>
      <x:c r="L100" s="85"/>
      <x:c r="M100" s="95"/>
      <x:c r="N100" s="92"/>
      <x:c r="O100" s="88"/>
      <x:c r="P100" s="85"/>
      <x:c r="Q100" s="89"/>
      <x:c r="R100" s="90" t="str">
        <x:f>IF(OR(O100="",Q100=""),"",O100*Q100*IF(S100="별도",1.1,1))</x:f>
      </x:c>
      <x:c r="S100" s="85"/>
      <x:c r="T100" s="89"/>
      <x:c r="U100" s="89"/>
      <x:c r="V100" s="92"/>
      <x:c r="W100" s="88"/>
      <x:c r="X100" s="89"/>
      <x:c r="Y100" s="90" t="str">
        <x:f>IF(OR(W100="",X100=""),"",W100*X100*IF(S100="별도",1.1,1))</x:f>
      </x:c>
      <x:c r="Z100" s="93"/>
      <x:c r="AA100" s="90" t="str">
        <x:f>IF(OR(R100="",Y100=""),"",R100-Y100)</x:f>
      </x:c>
      <x:c r="AB100" s="90" t="str">
        <x:f>IF($A100="","",IF($B100="취소",0,IF($C100="제외",0,IF($Y100&lt;&gt;"",$Y100,IF($U100&lt;&gt;"",$U100,IF($T100&lt;&gt;"",$T100,$R100))))))</x:f>
      </x:c>
      <x:c r="AC100" s="91"/>
      <x:c r="AD100" s="91"/>
      <x:c r="AE100" s="91"/>
      <x:c r="AF100" s="90" t="str">
        <x:f>IF(AND(AC100="",AD100="",AE100=""),"",SUM(AC100:AE100))</x:f>
      </x:c>
      <x:c r="AG100" s="94"/>
      <x:c r="AH100" s="91" t="str">
        <x:f>IF(Y100="","",Y100-IF(AF100="",0,AF100))</x:f>
      </x:c>
      <x:c r="AI100" s="87"/>
      <x:c r="AJ100" s="87"/>
      <x:c r="AK100" s="87"/>
      <x:c r="AL100" s="87"/>
      <x:c r="AM100" s="87"/>
      <x:c r="AN100" s="85"/>
      <x:c r="AO100" s="85"/>
      <x:c r="AP100" s="85"/>
      <x:c r="AQ100" s="86" t="str">
        <x:f>IF(A100="","",IF(COUNTIF($A$7:$A$156,A100)&gt;1,"ID 중복",IF(F100="","예산 매핑 필요",IF(OR(E100="예산코드 오류",G100="예산코드 오류"),"예산코드 오류",IF(AND(Y100&lt;&gt;"",Z100=""),"구매일 필요",IF(AND(AF100&lt;&gt;"",AG100=""),"지급일 필요",IF(AND(AF100&lt;&gt;"",AN100=""),"증빙ID 필요",IF(OR(Y100&lt;0,AF100&lt;0),"금액 오류",IF(AND(Y100&lt;&gt;"",R100&lt;&gt;"",Y100&gt;R100),"계획 초과","정상")))))))))</x:f>
      </x:c>
    </x:row>
    <x:row r="101" ht="24" customHeight="1">
      <x:c r="A101" s="85"/>
      <x:c r="B101" s="85"/>
      <x:c r="C101" s="85"/>
      <x:c r="D101" s="85"/>
      <x:c r="E101" s="86" t="str">
        <x:f>IF(F101="","",IFERROR(VLOOKUP(F101,'02_승인예산'!$A$7:$S$66,2,FALSE),"예산코드 오류"))</x:f>
      </x:c>
      <x:c r="F101" s="85"/>
      <x:c r="G101" s="86" t="str">
        <x:f>IF(F101="","",IFERROR(VLOOKUP(F101,'02_승인예산'!$A$7:$S$66,4,FALSE),"예산코드 오류"))</x:f>
      </x:c>
      <x:c r="H101" s="85"/>
      <x:c r="I101" s="85"/>
      <x:c r="J101" s="85"/>
      <x:c r="K101" s="85"/>
      <x:c r="L101" s="85"/>
      <x:c r="M101" s="95"/>
      <x:c r="N101" s="92"/>
      <x:c r="O101" s="88"/>
      <x:c r="P101" s="85"/>
      <x:c r="Q101" s="89"/>
      <x:c r="R101" s="90" t="str">
        <x:f>IF(OR(O101="",Q101=""),"",O101*Q101*IF(S101="별도",1.1,1))</x:f>
      </x:c>
      <x:c r="S101" s="85"/>
      <x:c r="T101" s="89"/>
      <x:c r="U101" s="89"/>
      <x:c r="V101" s="92"/>
      <x:c r="W101" s="88"/>
      <x:c r="X101" s="89"/>
      <x:c r="Y101" s="90" t="str">
        <x:f>IF(OR(W101="",X101=""),"",W101*X101*IF(S101="별도",1.1,1))</x:f>
      </x:c>
      <x:c r="Z101" s="93"/>
      <x:c r="AA101" s="90" t="str">
        <x:f>IF(OR(R101="",Y101=""),"",R101-Y101)</x:f>
      </x:c>
      <x:c r="AB101" s="90" t="str">
        <x:f>IF($A101="","",IF($B101="취소",0,IF($C101="제외",0,IF($Y101&lt;&gt;"",$Y101,IF($U101&lt;&gt;"",$U101,IF($T101&lt;&gt;"",$T101,$R101))))))</x:f>
      </x:c>
      <x:c r="AC101" s="91"/>
      <x:c r="AD101" s="91"/>
      <x:c r="AE101" s="91"/>
      <x:c r="AF101" s="90" t="str">
        <x:f>IF(AND(AC101="",AD101="",AE101=""),"",SUM(AC101:AE101))</x:f>
      </x:c>
      <x:c r="AG101" s="94"/>
      <x:c r="AH101" s="91" t="str">
        <x:f>IF(Y101="","",Y101-IF(AF101="",0,AF101))</x:f>
      </x:c>
      <x:c r="AI101" s="87"/>
      <x:c r="AJ101" s="87"/>
      <x:c r="AK101" s="87"/>
      <x:c r="AL101" s="87"/>
      <x:c r="AM101" s="87"/>
      <x:c r="AN101" s="85"/>
      <x:c r="AO101" s="85"/>
      <x:c r="AP101" s="85"/>
      <x:c r="AQ101" s="86" t="str">
        <x:f>IF(A101="","",IF(COUNTIF($A$7:$A$156,A101)&gt;1,"ID 중복",IF(F101="","예산 매핑 필요",IF(OR(E101="예산코드 오류",G101="예산코드 오류"),"예산코드 오류",IF(AND(Y101&lt;&gt;"",Z101=""),"구매일 필요",IF(AND(AF101&lt;&gt;"",AG101=""),"지급일 필요",IF(AND(AF101&lt;&gt;"",AN101=""),"증빙ID 필요",IF(OR(Y101&lt;0,AF101&lt;0),"금액 오류",IF(AND(Y101&lt;&gt;"",R101&lt;&gt;"",Y101&gt;R101),"계획 초과","정상")))))))))</x:f>
      </x:c>
    </x:row>
    <x:row r="102" ht="24" customHeight="1">
      <x:c r="A102" s="85"/>
      <x:c r="B102" s="85"/>
      <x:c r="C102" s="85"/>
      <x:c r="D102" s="85"/>
      <x:c r="E102" s="86" t="str">
        <x:f>IF(F102="","",IFERROR(VLOOKUP(F102,'02_승인예산'!$A$7:$S$66,2,FALSE),"예산코드 오류"))</x:f>
      </x:c>
      <x:c r="F102" s="85"/>
      <x:c r="G102" s="86" t="str">
        <x:f>IF(F102="","",IFERROR(VLOOKUP(F102,'02_승인예산'!$A$7:$S$66,4,FALSE),"예산코드 오류"))</x:f>
      </x:c>
      <x:c r="H102" s="85"/>
      <x:c r="I102" s="85"/>
      <x:c r="J102" s="85"/>
      <x:c r="K102" s="85"/>
      <x:c r="L102" s="85"/>
      <x:c r="M102" s="95"/>
      <x:c r="N102" s="92"/>
      <x:c r="O102" s="88"/>
      <x:c r="P102" s="85"/>
      <x:c r="Q102" s="89"/>
      <x:c r="R102" s="90" t="str">
        <x:f>IF(OR(O102="",Q102=""),"",O102*Q102*IF(S102="별도",1.1,1))</x:f>
      </x:c>
      <x:c r="S102" s="85"/>
      <x:c r="T102" s="89"/>
      <x:c r="U102" s="89"/>
      <x:c r="V102" s="92"/>
      <x:c r="W102" s="88"/>
      <x:c r="X102" s="89"/>
      <x:c r="Y102" s="90" t="str">
        <x:f>IF(OR(W102="",X102=""),"",W102*X102*IF(S102="별도",1.1,1))</x:f>
      </x:c>
      <x:c r="Z102" s="93"/>
      <x:c r="AA102" s="90" t="str">
        <x:f>IF(OR(R102="",Y102=""),"",R102-Y102)</x:f>
      </x:c>
      <x:c r="AB102" s="90" t="str">
        <x:f>IF($A102="","",IF($B102="취소",0,IF($C102="제외",0,IF($Y102&lt;&gt;"",$Y102,IF($U102&lt;&gt;"",$U102,IF($T102&lt;&gt;"",$T102,$R102))))))</x:f>
      </x:c>
      <x:c r="AC102" s="91"/>
      <x:c r="AD102" s="91"/>
      <x:c r="AE102" s="91"/>
      <x:c r="AF102" s="90" t="str">
        <x:f>IF(AND(AC102="",AD102="",AE102=""),"",SUM(AC102:AE102))</x:f>
      </x:c>
      <x:c r="AG102" s="94"/>
      <x:c r="AH102" s="91" t="str">
        <x:f>IF(Y102="","",Y102-IF(AF102="",0,AF102))</x:f>
      </x:c>
      <x:c r="AI102" s="87"/>
      <x:c r="AJ102" s="87"/>
      <x:c r="AK102" s="87"/>
      <x:c r="AL102" s="87"/>
      <x:c r="AM102" s="87"/>
      <x:c r="AN102" s="85"/>
      <x:c r="AO102" s="85"/>
      <x:c r="AP102" s="85"/>
      <x:c r="AQ102" s="86" t="str">
        <x:f>IF(A102="","",IF(COUNTIF($A$7:$A$156,A102)&gt;1,"ID 중복",IF(F102="","예산 매핑 필요",IF(OR(E102="예산코드 오류",G102="예산코드 오류"),"예산코드 오류",IF(AND(Y102&lt;&gt;"",Z102=""),"구매일 필요",IF(AND(AF102&lt;&gt;"",AG102=""),"지급일 필요",IF(AND(AF102&lt;&gt;"",AN102=""),"증빙ID 필요",IF(OR(Y102&lt;0,AF102&lt;0),"금액 오류",IF(AND(Y102&lt;&gt;"",R102&lt;&gt;"",Y102&gt;R102),"계획 초과","정상")))))))))</x:f>
      </x:c>
    </x:row>
    <x:row r="103" ht="24" customHeight="1">
      <x:c r="A103" s="85"/>
      <x:c r="B103" s="85"/>
      <x:c r="C103" s="85"/>
      <x:c r="D103" s="85"/>
      <x:c r="E103" s="86" t="str">
        <x:f>IF(F103="","",IFERROR(VLOOKUP(F103,'02_승인예산'!$A$7:$S$66,2,FALSE),"예산코드 오류"))</x:f>
      </x:c>
      <x:c r="F103" s="85"/>
      <x:c r="G103" s="86" t="str">
        <x:f>IF(F103="","",IFERROR(VLOOKUP(F103,'02_승인예산'!$A$7:$S$66,4,FALSE),"예산코드 오류"))</x:f>
      </x:c>
      <x:c r="H103" s="85"/>
      <x:c r="I103" s="85"/>
      <x:c r="J103" s="85"/>
      <x:c r="K103" s="85"/>
      <x:c r="L103" s="85"/>
      <x:c r="M103" s="95"/>
      <x:c r="N103" s="92"/>
      <x:c r="O103" s="88"/>
      <x:c r="P103" s="85"/>
      <x:c r="Q103" s="89"/>
      <x:c r="R103" s="90" t="str">
        <x:f>IF(OR(O103="",Q103=""),"",O103*Q103*IF(S103="별도",1.1,1))</x:f>
      </x:c>
      <x:c r="S103" s="85"/>
      <x:c r="T103" s="89"/>
      <x:c r="U103" s="89"/>
      <x:c r="V103" s="92"/>
      <x:c r="W103" s="88"/>
      <x:c r="X103" s="89"/>
      <x:c r="Y103" s="90" t="str">
        <x:f>IF(OR(W103="",X103=""),"",W103*X103*IF(S103="별도",1.1,1))</x:f>
      </x:c>
      <x:c r="Z103" s="93"/>
      <x:c r="AA103" s="90" t="str">
        <x:f>IF(OR(R103="",Y103=""),"",R103-Y103)</x:f>
      </x:c>
      <x:c r="AB103" s="90" t="str">
        <x:f>IF($A103="","",IF($B103="취소",0,IF($C103="제외",0,IF($Y103&lt;&gt;"",$Y103,IF($U103&lt;&gt;"",$U103,IF($T103&lt;&gt;"",$T103,$R103))))))</x:f>
      </x:c>
      <x:c r="AC103" s="91"/>
      <x:c r="AD103" s="91"/>
      <x:c r="AE103" s="91"/>
      <x:c r="AF103" s="90" t="str">
        <x:f>IF(AND(AC103="",AD103="",AE103=""),"",SUM(AC103:AE103))</x:f>
      </x:c>
      <x:c r="AG103" s="94"/>
      <x:c r="AH103" s="91" t="str">
        <x:f>IF(Y103="","",Y103-IF(AF103="",0,AF103))</x:f>
      </x:c>
      <x:c r="AI103" s="87"/>
      <x:c r="AJ103" s="87"/>
      <x:c r="AK103" s="87"/>
      <x:c r="AL103" s="87"/>
      <x:c r="AM103" s="87"/>
      <x:c r="AN103" s="85"/>
      <x:c r="AO103" s="85"/>
      <x:c r="AP103" s="85"/>
      <x:c r="AQ103" s="86" t="str">
        <x:f>IF(A103="","",IF(COUNTIF($A$7:$A$156,A103)&gt;1,"ID 중복",IF(F103="","예산 매핑 필요",IF(OR(E103="예산코드 오류",G103="예산코드 오류"),"예산코드 오류",IF(AND(Y103&lt;&gt;"",Z103=""),"구매일 필요",IF(AND(AF103&lt;&gt;"",AG103=""),"지급일 필요",IF(AND(AF103&lt;&gt;"",AN103=""),"증빙ID 필요",IF(OR(Y103&lt;0,AF103&lt;0),"금액 오류",IF(AND(Y103&lt;&gt;"",R103&lt;&gt;"",Y103&gt;R103),"계획 초과","정상")))))))))</x:f>
      </x:c>
    </x:row>
    <x:row r="104" ht="24" customHeight="1">
      <x:c r="A104" s="85"/>
      <x:c r="B104" s="85"/>
      <x:c r="C104" s="85"/>
      <x:c r="D104" s="85"/>
      <x:c r="E104" s="86" t="str">
        <x:f>IF(F104="","",IFERROR(VLOOKUP(F104,'02_승인예산'!$A$7:$S$66,2,FALSE),"예산코드 오류"))</x:f>
      </x:c>
      <x:c r="F104" s="85"/>
      <x:c r="G104" s="86" t="str">
        <x:f>IF(F104="","",IFERROR(VLOOKUP(F104,'02_승인예산'!$A$7:$S$66,4,FALSE),"예산코드 오류"))</x:f>
      </x:c>
      <x:c r="H104" s="85"/>
      <x:c r="I104" s="85"/>
      <x:c r="J104" s="85"/>
      <x:c r="K104" s="85"/>
      <x:c r="L104" s="85"/>
      <x:c r="M104" s="95"/>
      <x:c r="N104" s="92"/>
      <x:c r="O104" s="88"/>
      <x:c r="P104" s="85"/>
      <x:c r="Q104" s="89"/>
      <x:c r="R104" s="90" t="str">
        <x:f>IF(OR(O104="",Q104=""),"",O104*Q104*IF(S104="별도",1.1,1))</x:f>
      </x:c>
      <x:c r="S104" s="85"/>
      <x:c r="T104" s="89"/>
      <x:c r="U104" s="89"/>
      <x:c r="V104" s="92"/>
      <x:c r="W104" s="88"/>
      <x:c r="X104" s="89"/>
      <x:c r="Y104" s="90" t="str">
        <x:f>IF(OR(W104="",X104=""),"",W104*X104*IF(S104="별도",1.1,1))</x:f>
      </x:c>
      <x:c r="Z104" s="93"/>
      <x:c r="AA104" s="90" t="str">
        <x:f>IF(OR(R104="",Y104=""),"",R104-Y104)</x:f>
      </x:c>
      <x:c r="AB104" s="90" t="str">
        <x:f>IF($A104="","",IF($B104="취소",0,IF($C104="제외",0,IF($Y104&lt;&gt;"",$Y104,IF($U104&lt;&gt;"",$U104,IF($T104&lt;&gt;"",$T104,$R104))))))</x:f>
      </x:c>
      <x:c r="AC104" s="91"/>
      <x:c r="AD104" s="91"/>
      <x:c r="AE104" s="91"/>
      <x:c r="AF104" s="90" t="str">
        <x:f>IF(AND(AC104="",AD104="",AE104=""),"",SUM(AC104:AE104))</x:f>
      </x:c>
      <x:c r="AG104" s="94"/>
      <x:c r="AH104" s="91" t="str">
        <x:f>IF(Y104="","",Y104-IF(AF104="",0,AF104))</x:f>
      </x:c>
      <x:c r="AI104" s="87"/>
      <x:c r="AJ104" s="87"/>
      <x:c r="AK104" s="87"/>
      <x:c r="AL104" s="87"/>
      <x:c r="AM104" s="87"/>
      <x:c r="AN104" s="85"/>
      <x:c r="AO104" s="85"/>
      <x:c r="AP104" s="85"/>
      <x:c r="AQ104" s="86" t="str">
        <x:f>IF(A104="","",IF(COUNTIF($A$7:$A$156,A104)&gt;1,"ID 중복",IF(F104="","예산 매핑 필요",IF(OR(E104="예산코드 오류",G104="예산코드 오류"),"예산코드 오류",IF(AND(Y104&lt;&gt;"",Z104=""),"구매일 필요",IF(AND(AF104&lt;&gt;"",AG104=""),"지급일 필요",IF(AND(AF104&lt;&gt;"",AN104=""),"증빙ID 필요",IF(OR(Y104&lt;0,AF104&lt;0),"금액 오류",IF(AND(Y104&lt;&gt;"",R104&lt;&gt;"",Y104&gt;R104),"계획 초과","정상")))))))))</x:f>
      </x:c>
    </x:row>
    <x:row r="105" ht="24" customHeight="1">
      <x:c r="A105" s="85"/>
      <x:c r="B105" s="85"/>
      <x:c r="C105" s="85"/>
      <x:c r="D105" s="85"/>
      <x:c r="E105" s="86" t="str">
        <x:f>IF(F105="","",IFERROR(VLOOKUP(F105,'02_승인예산'!$A$7:$S$66,2,FALSE),"예산코드 오류"))</x:f>
      </x:c>
      <x:c r="F105" s="85"/>
      <x:c r="G105" s="86" t="str">
        <x:f>IF(F105="","",IFERROR(VLOOKUP(F105,'02_승인예산'!$A$7:$S$66,4,FALSE),"예산코드 오류"))</x:f>
      </x:c>
      <x:c r="H105" s="85"/>
      <x:c r="I105" s="85"/>
      <x:c r="J105" s="85"/>
      <x:c r="K105" s="85"/>
      <x:c r="L105" s="85"/>
      <x:c r="M105" s="95"/>
      <x:c r="N105" s="92"/>
      <x:c r="O105" s="88"/>
      <x:c r="P105" s="85"/>
      <x:c r="Q105" s="89"/>
      <x:c r="R105" s="90" t="str">
        <x:f>IF(OR(O105="",Q105=""),"",O105*Q105*IF(S105="별도",1.1,1))</x:f>
      </x:c>
      <x:c r="S105" s="85"/>
      <x:c r="T105" s="89"/>
      <x:c r="U105" s="89"/>
      <x:c r="V105" s="92"/>
      <x:c r="W105" s="88"/>
      <x:c r="X105" s="89"/>
      <x:c r="Y105" s="90" t="str">
        <x:f>IF(OR(W105="",X105=""),"",W105*X105*IF(S105="별도",1.1,1))</x:f>
      </x:c>
      <x:c r="Z105" s="93"/>
      <x:c r="AA105" s="90" t="str">
        <x:f>IF(OR(R105="",Y105=""),"",R105-Y105)</x:f>
      </x:c>
      <x:c r="AB105" s="90" t="str">
        <x:f>IF($A105="","",IF($B105="취소",0,IF($C105="제외",0,IF($Y105&lt;&gt;"",$Y105,IF($U105&lt;&gt;"",$U105,IF($T105&lt;&gt;"",$T105,$R105))))))</x:f>
      </x:c>
      <x:c r="AC105" s="91"/>
      <x:c r="AD105" s="91"/>
      <x:c r="AE105" s="91"/>
      <x:c r="AF105" s="90" t="str">
        <x:f>IF(AND(AC105="",AD105="",AE105=""),"",SUM(AC105:AE105))</x:f>
      </x:c>
      <x:c r="AG105" s="94"/>
      <x:c r="AH105" s="91" t="str">
        <x:f>IF(Y105="","",Y105-IF(AF105="",0,AF105))</x:f>
      </x:c>
      <x:c r="AI105" s="87"/>
      <x:c r="AJ105" s="87"/>
      <x:c r="AK105" s="87"/>
      <x:c r="AL105" s="87"/>
      <x:c r="AM105" s="87"/>
      <x:c r="AN105" s="85"/>
      <x:c r="AO105" s="85"/>
      <x:c r="AP105" s="85"/>
      <x:c r="AQ105" s="86" t="str">
        <x:f>IF(A105="","",IF(COUNTIF($A$7:$A$156,A105)&gt;1,"ID 중복",IF(F105="","예산 매핑 필요",IF(OR(E105="예산코드 오류",G105="예산코드 오류"),"예산코드 오류",IF(AND(Y105&lt;&gt;"",Z105=""),"구매일 필요",IF(AND(AF105&lt;&gt;"",AG105=""),"지급일 필요",IF(AND(AF105&lt;&gt;"",AN105=""),"증빙ID 필요",IF(OR(Y105&lt;0,AF105&lt;0),"금액 오류",IF(AND(Y105&lt;&gt;"",R105&lt;&gt;"",Y105&gt;R105),"계획 초과","정상")))))))))</x:f>
      </x:c>
    </x:row>
    <x:row r="106" ht="24" customHeight="1">
      <x:c r="A106" s="85"/>
      <x:c r="B106" s="85"/>
      <x:c r="C106" s="85"/>
      <x:c r="D106" s="85"/>
      <x:c r="E106" s="86" t="str">
        <x:f>IF(F106="","",IFERROR(VLOOKUP(F106,'02_승인예산'!$A$7:$S$66,2,FALSE),"예산코드 오류"))</x:f>
      </x:c>
      <x:c r="F106" s="85"/>
      <x:c r="G106" s="86" t="str">
        <x:f>IF(F106="","",IFERROR(VLOOKUP(F106,'02_승인예산'!$A$7:$S$66,4,FALSE),"예산코드 오류"))</x:f>
      </x:c>
      <x:c r="H106" s="85"/>
      <x:c r="I106" s="85"/>
      <x:c r="J106" s="85"/>
      <x:c r="K106" s="85"/>
      <x:c r="L106" s="85"/>
      <x:c r="M106" s="95"/>
      <x:c r="N106" s="92"/>
      <x:c r="O106" s="88"/>
      <x:c r="P106" s="85"/>
      <x:c r="Q106" s="89"/>
      <x:c r="R106" s="90" t="str">
        <x:f>IF(OR(O106="",Q106=""),"",O106*Q106*IF(S106="별도",1.1,1))</x:f>
      </x:c>
      <x:c r="S106" s="85"/>
      <x:c r="T106" s="89"/>
      <x:c r="U106" s="89"/>
      <x:c r="V106" s="92"/>
      <x:c r="W106" s="88"/>
      <x:c r="X106" s="89"/>
      <x:c r="Y106" s="90" t="str">
        <x:f>IF(OR(W106="",X106=""),"",W106*X106*IF(S106="별도",1.1,1))</x:f>
      </x:c>
      <x:c r="Z106" s="93"/>
      <x:c r="AA106" s="90" t="str">
        <x:f>IF(OR(R106="",Y106=""),"",R106-Y106)</x:f>
      </x:c>
      <x:c r="AB106" s="90" t="str">
        <x:f>IF($A106="","",IF($B106="취소",0,IF($C106="제외",0,IF($Y106&lt;&gt;"",$Y106,IF($U106&lt;&gt;"",$U106,IF($T106&lt;&gt;"",$T106,$R106))))))</x:f>
      </x:c>
      <x:c r="AC106" s="91"/>
      <x:c r="AD106" s="91"/>
      <x:c r="AE106" s="91"/>
      <x:c r="AF106" s="90" t="str">
        <x:f>IF(AND(AC106="",AD106="",AE106=""),"",SUM(AC106:AE106))</x:f>
      </x:c>
      <x:c r="AG106" s="94"/>
      <x:c r="AH106" s="91" t="str">
        <x:f>IF(Y106="","",Y106-IF(AF106="",0,AF106))</x:f>
      </x:c>
      <x:c r="AI106" s="87"/>
      <x:c r="AJ106" s="87"/>
      <x:c r="AK106" s="87"/>
      <x:c r="AL106" s="87"/>
      <x:c r="AM106" s="87"/>
      <x:c r="AN106" s="85"/>
      <x:c r="AO106" s="85"/>
      <x:c r="AP106" s="85"/>
      <x:c r="AQ106" s="86" t="str">
        <x:f>IF(A106="","",IF(COUNTIF($A$7:$A$156,A106)&gt;1,"ID 중복",IF(F106="","예산 매핑 필요",IF(OR(E106="예산코드 오류",G106="예산코드 오류"),"예산코드 오류",IF(AND(Y106&lt;&gt;"",Z106=""),"구매일 필요",IF(AND(AF106&lt;&gt;"",AG106=""),"지급일 필요",IF(AND(AF106&lt;&gt;"",AN106=""),"증빙ID 필요",IF(OR(Y106&lt;0,AF106&lt;0),"금액 오류",IF(AND(Y106&lt;&gt;"",R106&lt;&gt;"",Y106&gt;R106),"계획 초과","정상")))))))))</x:f>
      </x:c>
    </x:row>
    <x:row r="107" ht="24" customHeight="1">
      <x:c r="A107" s="85"/>
      <x:c r="B107" s="85"/>
      <x:c r="C107" s="85"/>
      <x:c r="D107" s="85"/>
      <x:c r="E107" s="86" t="str">
        <x:f>IF(F107="","",IFERROR(VLOOKUP(F107,'02_승인예산'!$A$7:$S$66,2,FALSE),"예산코드 오류"))</x:f>
      </x:c>
      <x:c r="F107" s="85"/>
      <x:c r="G107" s="86" t="str">
        <x:f>IF(F107="","",IFERROR(VLOOKUP(F107,'02_승인예산'!$A$7:$S$66,4,FALSE),"예산코드 오류"))</x:f>
      </x:c>
      <x:c r="H107" s="85"/>
      <x:c r="I107" s="85"/>
      <x:c r="J107" s="85"/>
      <x:c r="K107" s="85"/>
      <x:c r="L107" s="85"/>
      <x:c r="M107" s="95"/>
      <x:c r="N107" s="92"/>
      <x:c r="O107" s="88"/>
      <x:c r="P107" s="85"/>
      <x:c r="Q107" s="89"/>
      <x:c r="R107" s="90" t="str">
        <x:f>IF(OR(O107="",Q107=""),"",O107*Q107*IF(S107="별도",1.1,1))</x:f>
      </x:c>
      <x:c r="S107" s="85"/>
      <x:c r="T107" s="89"/>
      <x:c r="U107" s="89"/>
      <x:c r="V107" s="92"/>
      <x:c r="W107" s="88"/>
      <x:c r="X107" s="89"/>
      <x:c r="Y107" s="90" t="str">
        <x:f>IF(OR(W107="",X107=""),"",W107*X107*IF(S107="별도",1.1,1))</x:f>
      </x:c>
      <x:c r="Z107" s="93"/>
      <x:c r="AA107" s="90" t="str">
        <x:f>IF(OR(R107="",Y107=""),"",R107-Y107)</x:f>
      </x:c>
      <x:c r="AB107" s="90" t="str">
        <x:f>IF($A107="","",IF($B107="취소",0,IF($C107="제외",0,IF($Y107&lt;&gt;"",$Y107,IF($U107&lt;&gt;"",$U107,IF($T107&lt;&gt;"",$T107,$R107))))))</x:f>
      </x:c>
      <x:c r="AC107" s="91"/>
      <x:c r="AD107" s="91"/>
      <x:c r="AE107" s="91"/>
      <x:c r="AF107" s="90" t="str">
        <x:f>IF(AND(AC107="",AD107="",AE107=""),"",SUM(AC107:AE107))</x:f>
      </x:c>
      <x:c r="AG107" s="94"/>
      <x:c r="AH107" s="91" t="str">
        <x:f>IF(Y107="","",Y107-IF(AF107="",0,AF107))</x:f>
      </x:c>
      <x:c r="AI107" s="87"/>
      <x:c r="AJ107" s="87"/>
      <x:c r="AK107" s="87"/>
      <x:c r="AL107" s="87"/>
      <x:c r="AM107" s="87"/>
      <x:c r="AN107" s="85"/>
      <x:c r="AO107" s="85"/>
      <x:c r="AP107" s="85"/>
      <x:c r="AQ107" s="86" t="str">
        <x:f>IF(A107="","",IF(COUNTIF($A$7:$A$156,A107)&gt;1,"ID 중복",IF(F107="","예산 매핑 필요",IF(OR(E107="예산코드 오류",G107="예산코드 오류"),"예산코드 오류",IF(AND(Y107&lt;&gt;"",Z107=""),"구매일 필요",IF(AND(AF107&lt;&gt;"",AG107=""),"지급일 필요",IF(AND(AF107&lt;&gt;"",AN107=""),"증빙ID 필요",IF(OR(Y107&lt;0,AF107&lt;0),"금액 오류",IF(AND(Y107&lt;&gt;"",R107&lt;&gt;"",Y107&gt;R107),"계획 초과","정상")))))))))</x:f>
      </x:c>
    </x:row>
    <x:row r="108" ht="24" customHeight="1">
      <x:c r="A108" s="85"/>
      <x:c r="B108" s="85"/>
      <x:c r="C108" s="85"/>
      <x:c r="D108" s="85"/>
      <x:c r="E108" s="86" t="str">
        <x:f>IF(F108="","",IFERROR(VLOOKUP(F108,'02_승인예산'!$A$7:$S$66,2,FALSE),"예산코드 오류"))</x:f>
      </x:c>
      <x:c r="F108" s="85"/>
      <x:c r="G108" s="86" t="str">
        <x:f>IF(F108="","",IFERROR(VLOOKUP(F108,'02_승인예산'!$A$7:$S$66,4,FALSE),"예산코드 오류"))</x:f>
      </x:c>
      <x:c r="H108" s="85"/>
      <x:c r="I108" s="85"/>
      <x:c r="J108" s="85"/>
      <x:c r="K108" s="85"/>
      <x:c r="L108" s="85"/>
      <x:c r="M108" s="95"/>
      <x:c r="N108" s="92"/>
      <x:c r="O108" s="88"/>
      <x:c r="P108" s="85"/>
      <x:c r="Q108" s="89"/>
      <x:c r="R108" s="90" t="str">
        <x:f>IF(OR(O108="",Q108=""),"",O108*Q108*IF(S108="별도",1.1,1))</x:f>
      </x:c>
      <x:c r="S108" s="85"/>
      <x:c r="T108" s="89"/>
      <x:c r="U108" s="89"/>
      <x:c r="V108" s="92"/>
      <x:c r="W108" s="88"/>
      <x:c r="X108" s="89"/>
      <x:c r="Y108" s="90" t="str">
        <x:f>IF(OR(W108="",X108=""),"",W108*X108*IF(S108="별도",1.1,1))</x:f>
      </x:c>
      <x:c r="Z108" s="93"/>
      <x:c r="AA108" s="90" t="str">
        <x:f>IF(OR(R108="",Y108=""),"",R108-Y108)</x:f>
      </x:c>
      <x:c r="AB108" s="90" t="str">
        <x:f>IF($A108="","",IF($B108="취소",0,IF($C108="제외",0,IF($Y108&lt;&gt;"",$Y108,IF($U108&lt;&gt;"",$U108,IF($T108&lt;&gt;"",$T108,$R108))))))</x:f>
      </x:c>
      <x:c r="AC108" s="91"/>
      <x:c r="AD108" s="91"/>
      <x:c r="AE108" s="91"/>
      <x:c r="AF108" s="90" t="str">
        <x:f>IF(AND(AC108="",AD108="",AE108=""),"",SUM(AC108:AE108))</x:f>
      </x:c>
      <x:c r="AG108" s="94"/>
      <x:c r="AH108" s="91" t="str">
        <x:f>IF(Y108="","",Y108-IF(AF108="",0,AF108))</x:f>
      </x:c>
      <x:c r="AI108" s="87"/>
      <x:c r="AJ108" s="87"/>
      <x:c r="AK108" s="87"/>
      <x:c r="AL108" s="87"/>
      <x:c r="AM108" s="87"/>
      <x:c r="AN108" s="85"/>
      <x:c r="AO108" s="85"/>
      <x:c r="AP108" s="85"/>
      <x:c r="AQ108" s="86" t="str">
        <x:f>IF(A108="","",IF(COUNTIF($A$7:$A$156,A108)&gt;1,"ID 중복",IF(F108="","예산 매핑 필요",IF(OR(E108="예산코드 오류",G108="예산코드 오류"),"예산코드 오류",IF(AND(Y108&lt;&gt;"",Z108=""),"구매일 필요",IF(AND(AF108&lt;&gt;"",AG108=""),"지급일 필요",IF(AND(AF108&lt;&gt;"",AN108=""),"증빙ID 필요",IF(OR(Y108&lt;0,AF108&lt;0),"금액 오류",IF(AND(Y108&lt;&gt;"",R108&lt;&gt;"",Y108&gt;R108),"계획 초과","정상")))))))))</x:f>
      </x:c>
    </x:row>
    <x:row r="109" ht="24" customHeight="1">
      <x:c r="A109" s="85"/>
      <x:c r="B109" s="85"/>
      <x:c r="C109" s="85"/>
      <x:c r="D109" s="85"/>
      <x:c r="E109" s="86" t="str">
        <x:f>IF(F109="","",IFERROR(VLOOKUP(F109,'02_승인예산'!$A$7:$S$66,2,FALSE),"예산코드 오류"))</x:f>
      </x:c>
      <x:c r="F109" s="85"/>
      <x:c r="G109" s="86" t="str">
        <x:f>IF(F109="","",IFERROR(VLOOKUP(F109,'02_승인예산'!$A$7:$S$66,4,FALSE),"예산코드 오류"))</x:f>
      </x:c>
      <x:c r="H109" s="85"/>
      <x:c r="I109" s="85"/>
      <x:c r="J109" s="85"/>
      <x:c r="K109" s="85"/>
      <x:c r="L109" s="85"/>
      <x:c r="M109" s="95"/>
      <x:c r="N109" s="92"/>
      <x:c r="O109" s="88"/>
      <x:c r="P109" s="85"/>
      <x:c r="Q109" s="89"/>
      <x:c r="R109" s="90" t="str">
        <x:f>IF(OR(O109="",Q109=""),"",O109*Q109*IF(S109="별도",1.1,1))</x:f>
      </x:c>
      <x:c r="S109" s="85"/>
      <x:c r="T109" s="89"/>
      <x:c r="U109" s="89"/>
      <x:c r="V109" s="92"/>
      <x:c r="W109" s="88"/>
      <x:c r="X109" s="89"/>
      <x:c r="Y109" s="90" t="str">
        <x:f>IF(OR(W109="",X109=""),"",W109*X109*IF(S109="별도",1.1,1))</x:f>
      </x:c>
      <x:c r="Z109" s="93"/>
      <x:c r="AA109" s="90" t="str">
        <x:f>IF(OR(R109="",Y109=""),"",R109-Y109)</x:f>
      </x:c>
      <x:c r="AB109" s="90" t="str">
        <x:f>IF($A109="","",IF($B109="취소",0,IF($C109="제외",0,IF($Y109&lt;&gt;"",$Y109,IF($U109&lt;&gt;"",$U109,IF($T109&lt;&gt;"",$T109,$R109))))))</x:f>
      </x:c>
      <x:c r="AC109" s="91"/>
      <x:c r="AD109" s="91"/>
      <x:c r="AE109" s="91"/>
      <x:c r="AF109" s="90" t="str">
        <x:f>IF(AND(AC109="",AD109="",AE109=""),"",SUM(AC109:AE109))</x:f>
      </x:c>
      <x:c r="AG109" s="94"/>
      <x:c r="AH109" s="91" t="str">
        <x:f>IF(Y109="","",Y109-IF(AF109="",0,AF109))</x:f>
      </x:c>
      <x:c r="AI109" s="87"/>
      <x:c r="AJ109" s="87"/>
      <x:c r="AK109" s="87"/>
      <x:c r="AL109" s="87"/>
      <x:c r="AM109" s="87"/>
      <x:c r="AN109" s="85"/>
      <x:c r="AO109" s="85"/>
      <x:c r="AP109" s="85"/>
      <x:c r="AQ109" s="86" t="str">
        <x:f>IF(A109="","",IF(COUNTIF($A$7:$A$156,A109)&gt;1,"ID 중복",IF(F109="","예산 매핑 필요",IF(OR(E109="예산코드 오류",G109="예산코드 오류"),"예산코드 오류",IF(AND(Y109&lt;&gt;"",Z109=""),"구매일 필요",IF(AND(AF109&lt;&gt;"",AG109=""),"지급일 필요",IF(AND(AF109&lt;&gt;"",AN109=""),"증빙ID 필요",IF(OR(Y109&lt;0,AF109&lt;0),"금액 오류",IF(AND(Y109&lt;&gt;"",R109&lt;&gt;"",Y109&gt;R109),"계획 초과","정상")))))))))</x:f>
      </x:c>
    </x:row>
    <x:row r="110" ht="24" customHeight="1">
      <x:c r="A110" s="85"/>
      <x:c r="B110" s="85"/>
      <x:c r="C110" s="85"/>
      <x:c r="D110" s="85"/>
      <x:c r="E110" s="86" t="str">
        <x:f>IF(F110="","",IFERROR(VLOOKUP(F110,'02_승인예산'!$A$7:$S$66,2,FALSE),"예산코드 오류"))</x:f>
      </x:c>
      <x:c r="F110" s="85"/>
      <x:c r="G110" s="86" t="str">
        <x:f>IF(F110="","",IFERROR(VLOOKUP(F110,'02_승인예산'!$A$7:$S$66,4,FALSE),"예산코드 오류"))</x:f>
      </x:c>
      <x:c r="H110" s="85"/>
      <x:c r="I110" s="85"/>
      <x:c r="J110" s="85"/>
      <x:c r="K110" s="85"/>
      <x:c r="L110" s="85"/>
      <x:c r="M110" s="95"/>
      <x:c r="N110" s="92"/>
      <x:c r="O110" s="88"/>
      <x:c r="P110" s="85"/>
      <x:c r="Q110" s="89"/>
      <x:c r="R110" s="90" t="str">
        <x:f>IF(OR(O110="",Q110=""),"",O110*Q110*IF(S110="별도",1.1,1))</x:f>
      </x:c>
      <x:c r="S110" s="85"/>
      <x:c r="T110" s="89"/>
      <x:c r="U110" s="89"/>
      <x:c r="V110" s="92"/>
      <x:c r="W110" s="88"/>
      <x:c r="X110" s="89"/>
      <x:c r="Y110" s="90" t="str">
        <x:f>IF(OR(W110="",X110=""),"",W110*X110*IF(S110="별도",1.1,1))</x:f>
      </x:c>
      <x:c r="Z110" s="93"/>
      <x:c r="AA110" s="90" t="str">
        <x:f>IF(OR(R110="",Y110=""),"",R110-Y110)</x:f>
      </x:c>
      <x:c r="AB110" s="90" t="str">
        <x:f>IF($A110="","",IF($B110="취소",0,IF($C110="제외",0,IF($Y110&lt;&gt;"",$Y110,IF($U110&lt;&gt;"",$U110,IF($T110&lt;&gt;"",$T110,$R110))))))</x:f>
      </x:c>
      <x:c r="AC110" s="91"/>
      <x:c r="AD110" s="91"/>
      <x:c r="AE110" s="91"/>
      <x:c r="AF110" s="90" t="str">
        <x:f>IF(AND(AC110="",AD110="",AE110=""),"",SUM(AC110:AE110))</x:f>
      </x:c>
      <x:c r="AG110" s="94"/>
      <x:c r="AH110" s="91" t="str">
        <x:f>IF(Y110="","",Y110-IF(AF110="",0,AF110))</x:f>
      </x:c>
      <x:c r="AI110" s="87"/>
      <x:c r="AJ110" s="87"/>
      <x:c r="AK110" s="87"/>
      <x:c r="AL110" s="87"/>
      <x:c r="AM110" s="87"/>
      <x:c r="AN110" s="85"/>
      <x:c r="AO110" s="85"/>
      <x:c r="AP110" s="85"/>
      <x:c r="AQ110" s="86" t="str">
        <x:f>IF(A110="","",IF(COUNTIF($A$7:$A$156,A110)&gt;1,"ID 중복",IF(F110="","예산 매핑 필요",IF(OR(E110="예산코드 오류",G110="예산코드 오류"),"예산코드 오류",IF(AND(Y110&lt;&gt;"",Z110=""),"구매일 필요",IF(AND(AF110&lt;&gt;"",AG110=""),"지급일 필요",IF(AND(AF110&lt;&gt;"",AN110=""),"증빙ID 필요",IF(OR(Y110&lt;0,AF110&lt;0),"금액 오류",IF(AND(Y110&lt;&gt;"",R110&lt;&gt;"",Y110&gt;R110),"계획 초과","정상")))))))))</x:f>
      </x:c>
    </x:row>
    <x:row r="111" ht="24" customHeight="1">
      <x:c r="A111" s="85"/>
      <x:c r="B111" s="85"/>
      <x:c r="C111" s="85"/>
      <x:c r="D111" s="85"/>
      <x:c r="E111" s="86" t="str">
        <x:f>IF(F111="","",IFERROR(VLOOKUP(F111,'02_승인예산'!$A$7:$S$66,2,FALSE),"예산코드 오류"))</x:f>
      </x:c>
      <x:c r="F111" s="85"/>
      <x:c r="G111" s="86" t="str">
        <x:f>IF(F111="","",IFERROR(VLOOKUP(F111,'02_승인예산'!$A$7:$S$66,4,FALSE),"예산코드 오류"))</x:f>
      </x:c>
      <x:c r="H111" s="85"/>
      <x:c r="I111" s="85"/>
      <x:c r="J111" s="85"/>
      <x:c r="K111" s="85"/>
      <x:c r="L111" s="85"/>
      <x:c r="M111" s="95"/>
      <x:c r="N111" s="92"/>
      <x:c r="O111" s="88"/>
      <x:c r="P111" s="85"/>
      <x:c r="Q111" s="89"/>
      <x:c r="R111" s="90" t="str">
        <x:f>IF(OR(O111="",Q111=""),"",O111*Q111*IF(S111="별도",1.1,1))</x:f>
      </x:c>
      <x:c r="S111" s="85"/>
      <x:c r="T111" s="89"/>
      <x:c r="U111" s="89"/>
      <x:c r="V111" s="92"/>
      <x:c r="W111" s="88"/>
      <x:c r="X111" s="89"/>
      <x:c r="Y111" s="90" t="str">
        <x:f>IF(OR(W111="",X111=""),"",W111*X111*IF(S111="별도",1.1,1))</x:f>
      </x:c>
      <x:c r="Z111" s="93"/>
      <x:c r="AA111" s="90" t="str">
        <x:f>IF(OR(R111="",Y111=""),"",R111-Y111)</x:f>
      </x:c>
      <x:c r="AB111" s="90" t="str">
        <x:f>IF($A111="","",IF($B111="취소",0,IF($C111="제외",0,IF($Y111&lt;&gt;"",$Y111,IF($U111&lt;&gt;"",$U111,IF($T111&lt;&gt;"",$T111,$R111))))))</x:f>
      </x:c>
      <x:c r="AC111" s="91"/>
      <x:c r="AD111" s="91"/>
      <x:c r="AE111" s="91"/>
      <x:c r="AF111" s="90" t="str">
        <x:f>IF(AND(AC111="",AD111="",AE111=""),"",SUM(AC111:AE111))</x:f>
      </x:c>
      <x:c r="AG111" s="94"/>
      <x:c r="AH111" s="91" t="str">
        <x:f>IF(Y111="","",Y111-IF(AF111="",0,AF111))</x:f>
      </x:c>
      <x:c r="AI111" s="87"/>
      <x:c r="AJ111" s="87"/>
      <x:c r="AK111" s="87"/>
      <x:c r="AL111" s="87"/>
      <x:c r="AM111" s="87"/>
      <x:c r="AN111" s="85"/>
      <x:c r="AO111" s="85"/>
      <x:c r="AP111" s="85"/>
      <x:c r="AQ111" s="86" t="str">
        <x:f>IF(A111="","",IF(COUNTIF($A$7:$A$156,A111)&gt;1,"ID 중복",IF(F111="","예산 매핑 필요",IF(OR(E111="예산코드 오류",G111="예산코드 오류"),"예산코드 오류",IF(AND(Y111&lt;&gt;"",Z111=""),"구매일 필요",IF(AND(AF111&lt;&gt;"",AG111=""),"지급일 필요",IF(AND(AF111&lt;&gt;"",AN111=""),"증빙ID 필요",IF(OR(Y111&lt;0,AF111&lt;0),"금액 오류",IF(AND(Y111&lt;&gt;"",R111&lt;&gt;"",Y111&gt;R111),"계획 초과","정상")))))))))</x:f>
      </x:c>
    </x:row>
    <x:row r="112" ht="24" customHeight="1">
      <x:c r="A112" s="85"/>
      <x:c r="B112" s="85"/>
      <x:c r="C112" s="85"/>
      <x:c r="D112" s="85"/>
      <x:c r="E112" s="86" t="str">
        <x:f>IF(F112="","",IFERROR(VLOOKUP(F112,'02_승인예산'!$A$7:$S$66,2,FALSE),"예산코드 오류"))</x:f>
      </x:c>
      <x:c r="F112" s="85"/>
      <x:c r="G112" s="86" t="str">
        <x:f>IF(F112="","",IFERROR(VLOOKUP(F112,'02_승인예산'!$A$7:$S$66,4,FALSE),"예산코드 오류"))</x:f>
      </x:c>
      <x:c r="H112" s="85"/>
      <x:c r="I112" s="85"/>
      <x:c r="J112" s="85"/>
      <x:c r="K112" s="85"/>
      <x:c r="L112" s="85"/>
      <x:c r="M112" s="95"/>
      <x:c r="N112" s="92"/>
      <x:c r="O112" s="88"/>
      <x:c r="P112" s="85"/>
      <x:c r="Q112" s="89"/>
      <x:c r="R112" s="90" t="str">
        <x:f>IF(OR(O112="",Q112=""),"",O112*Q112*IF(S112="별도",1.1,1))</x:f>
      </x:c>
      <x:c r="S112" s="85"/>
      <x:c r="T112" s="89"/>
      <x:c r="U112" s="89"/>
      <x:c r="V112" s="92"/>
      <x:c r="W112" s="88"/>
      <x:c r="X112" s="89"/>
      <x:c r="Y112" s="90" t="str">
        <x:f>IF(OR(W112="",X112=""),"",W112*X112*IF(S112="별도",1.1,1))</x:f>
      </x:c>
      <x:c r="Z112" s="93"/>
      <x:c r="AA112" s="90" t="str">
        <x:f>IF(OR(R112="",Y112=""),"",R112-Y112)</x:f>
      </x:c>
      <x:c r="AB112" s="90" t="str">
        <x:f>IF($A112="","",IF($B112="취소",0,IF($C112="제외",0,IF($Y112&lt;&gt;"",$Y112,IF($U112&lt;&gt;"",$U112,IF($T112&lt;&gt;"",$T112,$R112))))))</x:f>
      </x:c>
      <x:c r="AC112" s="91"/>
      <x:c r="AD112" s="91"/>
      <x:c r="AE112" s="91"/>
      <x:c r="AF112" s="90" t="str">
        <x:f>IF(AND(AC112="",AD112="",AE112=""),"",SUM(AC112:AE112))</x:f>
      </x:c>
      <x:c r="AG112" s="94"/>
      <x:c r="AH112" s="91" t="str">
        <x:f>IF(Y112="","",Y112-IF(AF112="",0,AF112))</x:f>
      </x:c>
      <x:c r="AI112" s="87"/>
      <x:c r="AJ112" s="87"/>
      <x:c r="AK112" s="87"/>
      <x:c r="AL112" s="87"/>
      <x:c r="AM112" s="87"/>
      <x:c r="AN112" s="85"/>
      <x:c r="AO112" s="85"/>
      <x:c r="AP112" s="85"/>
      <x:c r="AQ112" s="86" t="str">
        <x:f>IF(A112="","",IF(COUNTIF($A$7:$A$156,A112)&gt;1,"ID 중복",IF(F112="","예산 매핑 필요",IF(OR(E112="예산코드 오류",G112="예산코드 오류"),"예산코드 오류",IF(AND(Y112&lt;&gt;"",Z112=""),"구매일 필요",IF(AND(AF112&lt;&gt;"",AG112=""),"지급일 필요",IF(AND(AF112&lt;&gt;"",AN112=""),"증빙ID 필요",IF(OR(Y112&lt;0,AF112&lt;0),"금액 오류",IF(AND(Y112&lt;&gt;"",R112&lt;&gt;"",Y112&gt;R112),"계획 초과","정상")))))))))</x:f>
      </x:c>
    </x:row>
    <x:row r="113" ht="24" customHeight="1">
      <x:c r="A113" s="85"/>
      <x:c r="B113" s="85"/>
      <x:c r="C113" s="85"/>
      <x:c r="D113" s="85"/>
      <x:c r="E113" s="86" t="str">
        <x:f>IF(F113="","",IFERROR(VLOOKUP(F113,'02_승인예산'!$A$7:$S$66,2,FALSE),"예산코드 오류"))</x:f>
      </x:c>
      <x:c r="F113" s="85"/>
      <x:c r="G113" s="86" t="str">
        <x:f>IF(F113="","",IFERROR(VLOOKUP(F113,'02_승인예산'!$A$7:$S$66,4,FALSE),"예산코드 오류"))</x:f>
      </x:c>
      <x:c r="H113" s="85"/>
      <x:c r="I113" s="85"/>
      <x:c r="J113" s="85"/>
      <x:c r="K113" s="85"/>
      <x:c r="L113" s="85"/>
      <x:c r="M113" s="95"/>
      <x:c r="N113" s="92"/>
      <x:c r="O113" s="88"/>
      <x:c r="P113" s="85"/>
      <x:c r="Q113" s="89"/>
      <x:c r="R113" s="90" t="str">
        <x:f>IF(OR(O113="",Q113=""),"",O113*Q113*IF(S113="별도",1.1,1))</x:f>
      </x:c>
      <x:c r="S113" s="85"/>
      <x:c r="T113" s="89"/>
      <x:c r="U113" s="89"/>
      <x:c r="V113" s="92"/>
      <x:c r="W113" s="88"/>
      <x:c r="X113" s="89"/>
      <x:c r="Y113" s="90" t="str">
        <x:f>IF(OR(W113="",X113=""),"",W113*X113*IF(S113="별도",1.1,1))</x:f>
      </x:c>
      <x:c r="Z113" s="93"/>
      <x:c r="AA113" s="90" t="str">
        <x:f>IF(OR(R113="",Y113=""),"",R113-Y113)</x:f>
      </x:c>
      <x:c r="AB113" s="90" t="str">
        <x:f>IF($A113="","",IF($B113="취소",0,IF($C113="제외",0,IF($Y113&lt;&gt;"",$Y113,IF($U113&lt;&gt;"",$U113,IF($T113&lt;&gt;"",$T113,$R113))))))</x:f>
      </x:c>
      <x:c r="AC113" s="91"/>
      <x:c r="AD113" s="91"/>
      <x:c r="AE113" s="91"/>
      <x:c r="AF113" s="90" t="str">
        <x:f>IF(AND(AC113="",AD113="",AE113=""),"",SUM(AC113:AE113))</x:f>
      </x:c>
      <x:c r="AG113" s="94"/>
      <x:c r="AH113" s="91" t="str">
        <x:f>IF(Y113="","",Y113-IF(AF113="",0,AF113))</x:f>
      </x:c>
      <x:c r="AI113" s="87"/>
      <x:c r="AJ113" s="87"/>
      <x:c r="AK113" s="87"/>
      <x:c r="AL113" s="87"/>
      <x:c r="AM113" s="87"/>
      <x:c r="AN113" s="85"/>
      <x:c r="AO113" s="85"/>
      <x:c r="AP113" s="85"/>
      <x:c r="AQ113" s="86" t="str">
        <x:f>IF(A113="","",IF(COUNTIF($A$7:$A$156,A113)&gt;1,"ID 중복",IF(F113="","예산 매핑 필요",IF(OR(E113="예산코드 오류",G113="예산코드 오류"),"예산코드 오류",IF(AND(Y113&lt;&gt;"",Z113=""),"구매일 필요",IF(AND(AF113&lt;&gt;"",AG113=""),"지급일 필요",IF(AND(AF113&lt;&gt;"",AN113=""),"증빙ID 필요",IF(OR(Y113&lt;0,AF113&lt;0),"금액 오류",IF(AND(Y113&lt;&gt;"",R113&lt;&gt;"",Y113&gt;R113),"계획 초과","정상")))))))))</x:f>
      </x:c>
    </x:row>
    <x:row r="114" ht="24" customHeight="1">
      <x:c r="A114" s="85"/>
      <x:c r="B114" s="85"/>
      <x:c r="C114" s="85"/>
      <x:c r="D114" s="85"/>
      <x:c r="E114" s="86" t="str">
        <x:f>IF(F114="","",IFERROR(VLOOKUP(F114,'02_승인예산'!$A$7:$S$66,2,FALSE),"예산코드 오류"))</x:f>
      </x:c>
      <x:c r="F114" s="85"/>
      <x:c r="G114" s="86" t="str">
        <x:f>IF(F114="","",IFERROR(VLOOKUP(F114,'02_승인예산'!$A$7:$S$66,4,FALSE),"예산코드 오류"))</x:f>
      </x:c>
      <x:c r="H114" s="85"/>
      <x:c r="I114" s="85"/>
      <x:c r="J114" s="85"/>
      <x:c r="K114" s="85"/>
      <x:c r="L114" s="85"/>
      <x:c r="M114" s="95"/>
      <x:c r="N114" s="92"/>
      <x:c r="O114" s="88"/>
      <x:c r="P114" s="85"/>
      <x:c r="Q114" s="89"/>
      <x:c r="R114" s="90" t="str">
        <x:f>IF(OR(O114="",Q114=""),"",O114*Q114*IF(S114="별도",1.1,1))</x:f>
      </x:c>
      <x:c r="S114" s="85"/>
      <x:c r="T114" s="89"/>
      <x:c r="U114" s="89"/>
      <x:c r="V114" s="92"/>
      <x:c r="W114" s="88"/>
      <x:c r="X114" s="89"/>
      <x:c r="Y114" s="90" t="str">
        <x:f>IF(OR(W114="",X114=""),"",W114*X114*IF(S114="별도",1.1,1))</x:f>
      </x:c>
      <x:c r="Z114" s="93"/>
      <x:c r="AA114" s="90" t="str">
        <x:f>IF(OR(R114="",Y114=""),"",R114-Y114)</x:f>
      </x:c>
      <x:c r="AB114" s="90" t="str">
        <x:f>IF($A114="","",IF($B114="취소",0,IF($C114="제외",0,IF($Y114&lt;&gt;"",$Y114,IF($U114&lt;&gt;"",$U114,IF($T114&lt;&gt;"",$T114,$R114))))))</x:f>
      </x:c>
      <x:c r="AC114" s="91"/>
      <x:c r="AD114" s="91"/>
      <x:c r="AE114" s="91"/>
      <x:c r="AF114" s="90" t="str">
        <x:f>IF(AND(AC114="",AD114="",AE114=""),"",SUM(AC114:AE114))</x:f>
      </x:c>
      <x:c r="AG114" s="94"/>
      <x:c r="AH114" s="91" t="str">
        <x:f>IF(Y114="","",Y114-IF(AF114="",0,AF114))</x:f>
      </x:c>
      <x:c r="AI114" s="87"/>
      <x:c r="AJ114" s="87"/>
      <x:c r="AK114" s="87"/>
      <x:c r="AL114" s="87"/>
      <x:c r="AM114" s="87"/>
      <x:c r="AN114" s="85"/>
      <x:c r="AO114" s="85"/>
      <x:c r="AP114" s="85"/>
      <x:c r="AQ114" s="86" t="str">
        <x:f>IF(A114="","",IF(COUNTIF($A$7:$A$156,A114)&gt;1,"ID 중복",IF(F114="","예산 매핑 필요",IF(OR(E114="예산코드 오류",G114="예산코드 오류"),"예산코드 오류",IF(AND(Y114&lt;&gt;"",Z114=""),"구매일 필요",IF(AND(AF114&lt;&gt;"",AG114=""),"지급일 필요",IF(AND(AF114&lt;&gt;"",AN114=""),"증빙ID 필요",IF(OR(Y114&lt;0,AF114&lt;0),"금액 오류",IF(AND(Y114&lt;&gt;"",R114&lt;&gt;"",Y114&gt;R114),"계획 초과","정상")))))))))</x:f>
      </x:c>
    </x:row>
    <x:row r="115" ht="24" customHeight="1">
      <x:c r="A115" s="85"/>
      <x:c r="B115" s="85"/>
      <x:c r="C115" s="85"/>
      <x:c r="D115" s="85"/>
      <x:c r="E115" s="86" t="str">
        <x:f>IF(F115="","",IFERROR(VLOOKUP(F115,'02_승인예산'!$A$7:$S$66,2,FALSE),"예산코드 오류"))</x:f>
      </x:c>
      <x:c r="F115" s="85"/>
      <x:c r="G115" s="86" t="str">
        <x:f>IF(F115="","",IFERROR(VLOOKUP(F115,'02_승인예산'!$A$7:$S$66,4,FALSE),"예산코드 오류"))</x:f>
      </x:c>
      <x:c r="H115" s="85"/>
      <x:c r="I115" s="85"/>
      <x:c r="J115" s="85"/>
      <x:c r="K115" s="85"/>
      <x:c r="L115" s="85"/>
      <x:c r="M115" s="95"/>
      <x:c r="N115" s="92"/>
      <x:c r="O115" s="88"/>
      <x:c r="P115" s="85"/>
      <x:c r="Q115" s="89"/>
      <x:c r="R115" s="90" t="str">
        <x:f>IF(OR(O115="",Q115=""),"",O115*Q115*IF(S115="별도",1.1,1))</x:f>
      </x:c>
      <x:c r="S115" s="85"/>
      <x:c r="T115" s="89"/>
      <x:c r="U115" s="89"/>
      <x:c r="V115" s="92"/>
      <x:c r="W115" s="88"/>
      <x:c r="X115" s="89"/>
      <x:c r="Y115" s="90" t="str">
        <x:f>IF(OR(W115="",X115=""),"",W115*X115*IF(S115="별도",1.1,1))</x:f>
      </x:c>
      <x:c r="Z115" s="93"/>
      <x:c r="AA115" s="90" t="str">
        <x:f>IF(OR(R115="",Y115=""),"",R115-Y115)</x:f>
      </x:c>
      <x:c r="AB115" s="90" t="str">
        <x:f>IF($A115="","",IF($B115="취소",0,IF($C115="제외",0,IF($Y115&lt;&gt;"",$Y115,IF($U115&lt;&gt;"",$U115,IF($T115&lt;&gt;"",$T115,$R115))))))</x:f>
      </x:c>
      <x:c r="AC115" s="91"/>
      <x:c r="AD115" s="91"/>
      <x:c r="AE115" s="91"/>
      <x:c r="AF115" s="90" t="str">
        <x:f>IF(AND(AC115="",AD115="",AE115=""),"",SUM(AC115:AE115))</x:f>
      </x:c>
      <x:c r="AG115" s="94"/>
      <x:c r="AH115" s="91" t="str">
        <x:f>IF(Y115="","",Y115-IF(AF115="",0,AF115))</x:f>
      </x:c>
      <x:c r="AI115" s="87"/>
      <x:c r="AJ115" s="87"/>
      <x:c r="AK115" s="87"/>
      <x:c r="AL115" s="87"/>
      <x:c r="AM115" s="87"/>
      <x:c r="AN115" s="85"/>
      <x:c r="AO115" s="85"/>
      <x:c r="AP115" s="85"/>
      <x:c r="AQ115" s="86" t="str">
        <x:f>IF(A115="","",IF(COUNTIF($A$7:$A$156,A115)&gt;1,"ID 중복",IF(F115="","예산 매핑 필요",IF(OR(E115="예산코드 오류",G115="예산코드 오류"),"예산코드 오류",IF(AND(Y115&lt;&gt;"",Z115=""),"구매일 필요",IF(AND(AF115&lt;&gt;"",AG115=""),"지급일 필요",IF(AND(AF115&lt;&gt;"",AN115=""),"증빙ID 필요",IF(OR(Y115&lt;0,AF115&lt;0),"금액 오류",IF(AND(Y115&lt;&gt;"",R115&lt;&gt;"",Y115&gt;R115),"계획 초과","정상")))))))))</x:f>
      </x:c>
    </x:row>
    <x:row r="116" ht="24" customHeight="1">
      <x:c r="A116" s="85"/>
      <x:c r="B116" s="85"/>
      <x:c r="C116" s="85"/>
      <x:c r="D116" s="85"/>
      <x:c r="E116" s="86" t="str">
        <x:f>IF(F116="","",IFERROR(VLOOKUP(F116,'02_승인예산'!$A$7:$S$66,2,FALSE),"예산코드 오류"))</x:f>
      </x:c>
      <x:c r="F116" s="85"/>
      <x:c r="G116" s="86" t="str">
        <x:f>IF(F116="","",IFERROR(VLOOKUP(F116,'02_승인예산'!$A$7:$S$66,4,FALSE),"예산코드 오류"))</x:f>
      </x:c>
      <x:c r="H116" s="85"/>
      <x:c r="I116" s="85"/>
      <x:c r="J116" s="85"/>
      <x:c r="K116" s="85"/>
      <x:c r="L116" s="85"/>
      <x:c r="M116" s="95"/>
      <x:c r="N116" s="92"/>
      <x:c r="O116" s="88"/>
      <x:c r="P116" s="85"/>
      <x:c r="Q116" s="89"/>
      <x:c r="R116" s="90" t="str">
        <x:f>IF(OR(O116="",Q116=""),"",O116*Q116*IF(S116="별도",1.1,1))</x:f>
      </x:c>
      <x:c r="S116" s="85"/>
      <x:c r="T116" s="89"/>
      <x:c r="U116" s="89"/>
      <x:c r="V116" s="92"/>
      <x:c r="W116" s="88"/>
      <x:c r="X116" s="89"/>
      <x:c r="Y116" s="90" t="str">
        <x:f>IF(OR(W116="",X116=""),"",W116*X116*IF(S116="별도",1.1,1))</x:f>
      </x:c>
      <x:c r="Z116" s="93"/>
      <x:c r="AA116" s="90" t="str">
        <x:f>IF(OR(R116="",Y116=""),"",R116-Y116)</x:f>
      </x:c>
      <x:c r="AB116" s="90" t="str">
        <x:f>IF($A116="","",IF($B116="취소",0,IF($C116="제외",0,IF($Y116&lt;&gt;"",$Y116,IF($U116&lt;&gt;"",$U116,IF($T116&lt;&gt;"",$T116,$R116))))))</x:f>
      </x:c>
      <x:c r="AC116" s="91"/>
      <x:c r="AD116" s="91"/>
      <x:c r="AE116" s="91"/>
      <x:c r="AF116" s="90" t="str">
        <x:f>IF(AND(AC116="",AD116="",AE116=""),"",SUM(AC116:AE116))</x:f>
      </x:c>
      <x:c r="AG116" s="94"/>
      <x:c r="AH116" s="91" t="str">
        <x:f>IF(Y116="","",Y116-IF(AF116="",0,AF116))</x:f>
      </x:c>
      <x:c r="AI116" s="87"/>
      <x:c r="AJ116" s="87"/>
      <x:c r="AK116" s="87"/>
      <x:c r="AL116" s="87"/>
      <x:c r="AM116" s="87"/>
      <x:c r="AN116" s="85"/>
      <x:c r="AO116" s="85"/>
      <x:c r="AP116" s="85"/>
      <x:c r="AQ116" s="86" t="str">
        <x:f>IF(A116="","",IF(COUNTIF($A$7:$A$156,A116)&gt;1,"ID 중복",IF(F116="","예산 매핑 필요",IF(OR(E116="예산코드 오류",G116="예산코드 오류"),"예산코드 오류",IF(AND(Y116&lt;&gt;"",Z116=""),"구매일 필요",IF(AND(AF116&lt;&gt;"",AG116=""),"지급일 필요",IF(AND(AF116&lt;&gt;"",AN116=""),"증빙ID 필요",IF(OR(Y116&lt;0,AF116&lt;0),"금액 오류",IF(AND(Y116&lt;&gt;"",R116&lt;&gt;"",Y116&gt;R116),"계획 초과","정상")))))))))</x:f>
      </x:c>
    </x:row>
    <x:row r="117" ht="24" customHeight="1">
      <x:c r="A117" s="85"/>
      <x:c r="B117" s="85"/>
      <x:c r="C117" s="85"/>
      <x:c r="D117" s="85"/>
      <x:c r="E117" s="86" t="str">
        <x:f>IF(F117="","",IFERROR(VLOOKUP(F117,'02_승인예산'!$A$7:$S$66,2,FALSE),"예산코드 오류"))</x:f>
      </x:c>
      <x:c r="F117" s="85"/>
      <x:c r="G117" s="86" t="str">
        <x:f>IF(F117="","",IFERROR(VLOOKUP(F117,'02_승인예산'!$A$7:$S$66,4,FALSE),"예산코드 오류"))</x:f>
      </x:c>
      <x:c r="H117" s="85"/>
      <x:c r="I117" s="85"/>
      <x:c r="J117" s="85"/>
      <x:c r="K117" s="85"/>
      <x:c r="L117" s="85"/>
      <x:c r="M117" s="95"/>
      <x:c r="N117" s="92"/>
      <x:c r="O117" s="88"/>
      <x:c r="P117" s="85"/>
      <x:c r="Q117" s="89"/>
      <x:c r="R117" s="90" t="str">
        <x:f>IF(OR(O117="",Q117=""),"",O117*Q117*IF(S117="별도",1.1,1))</x:f>
      </x:c>
      <x:c r="S117" s="85"/>
      <x:c r="T117" s="89"/>
      <x:c r="U117" s="89"/>
      <x:c r="V117" s="92"/>
      <x:c r="W117" s="88"/>
      <x:c r="X117" s="89"/>
      <x:c r="Y117" s="90" t="str">
        <x:f>IF(OR(W117="",X117=""),"",W117*X117*IF(S117="별도",1.1,1))</x:f>
      </x:c>
      <x:c r="Z117" s="93"/>
      <x:c r="AA117" s="90" t="str">
        <x:f>IF(OR(R117="",Y117=""),"",R117-Y117)</x:f>
      </x:c>
      <x:c r="AB117" s="90" t="str">
        <x:f>IF($A117="","",IF($B117="취소",0,IF($C117="제외",0,IF($Y117&lt;&gt;"",$Y117,IF($U117&lt;&gt;"",$U117,IF($T117&lt;&gt;"",$T117,$R117))))))</x:f>
      </x:c>
      <x:c r="AC117" s="91"/>
      <x:c r="AD117" s="91"/>
      <x:c r="AE117" s="91"/>
      <x:c r="AF117" s="90" t="str">
        <x:f>IF(AND(AC117="",AD117="",AE117=""),"",SUM(AC117:AE117))</x:f>
      </x:c>
      <x:c r="AG117" s="94"/>
      <x:c r="AH117" s="91" t="str">
        <x:f>IF(Y117="","",Y117-IF(AF117="",0,AF117))</x:f>
      </x:c>
      <x:c r="AI117" s="87"/>
      <x:c r="AJ117" s="87"/>
      <x:c r="AK117" s="87"/>
      <x:c r="AL117" s="87"/>
      <x:c r="AM117" s="87"/>
      <x:c r="AN117" s="85"/>
      <x:c r="AO117" s="85"/>
      <x:c r="AP117" s="85"/>
      <x:c r="AQ117" s="86" t="str">
        <x:f>IF(A117="","",IF(COUNTIF($A$7:$A$156,A117)&gt;1,"ID 중복",IF(F117="","예산 매핑 필요",IF(OR(E117="예산코드 오류",G117="예산코드 오류"),"예산코드 오류",IF(AND(Y117&lt;&gt;"",Z117=""),"구매일 필요",IF(AND(AF117&lt;&gt;"",AG117=""),"지급일 필요",IF(AND(AF117&lt;&gt;"",AN117=""),"증빙ID 필요",IF(OR(Y117&lt;0,AF117&lt;0),"금액 오류",IF(AND(Y117&lt;&gt;"",R117&lt;&gt;"",Y117&gt;R117),"계획 초과","정상")))))))))</x:f>
      </x:c>
    </x:row>
    <x:row r="118" ht="24" customHeight="1">
      <x:c r="A118" s="85"/>
      <x:c r="B118" s="85"/>
      <x:c r="C118" s="85"/>
      <x:c r="D118" s="85"/>
      <x:c r="E118" s="86" t="str">
        <x:f>IF(F118="","",IFERROR(VLOOKUP(F118,'02_승인예산'!$A$7:$S$66,2,FALSE),"예산코드 오류"))</x:f>
      </x:c>
      <x:c r="F118" s="85"/>
      <x:c r="G118" s="86" t="str">
        <x:f>IF(F118="","",IFERROR(VLOOKUP(F118,'02_승인예산'!$A$7:$S$66,4,FALSE),"예산코드 오류"))</x:f>
      </x:c>
      <x:c r="H118" s="85"/>
      <x:c r="I118" s="85"/>
      <x:c r="J118" s="85"/>
      <x:c r="K118" s="85"/>
      <x:c r="L118" s="85"/>
      <x:c r="M118" s="95"/>
      <x:c r="N118" s="92"/>
      <x:c r="O118" s="88"/>
      <x:c r="P118" s="85"/>
      <x:c r="Q118" s="89"/>
      <x:c r="R118" s="90" t="str">
        <x:f>IF(OR(O118="",Q118=""),"",O118*Q118*IF(S118="별도",1.1,1))</x:f>
      </x:c>
      <x:c r="S118" s="85"/>
      <x:c r="T118" s="89"/>
      <x:c r="U118" s="89"/>
      <x:c r="V118" s="92"/>
      <x:c r="W118" s="88"/>
      <x:c r="X118" s="89"/>
      <x:c r="Y118" s="90" t="str">
        <x:f>IF(OR(W118="",X118=""),"",W118*X118*IF(S118="별도",1.1,1))</x:f>
      </x:c>
      <x:c r="Z118" s="93"/>
      <x:c r="AA118" s="90" t="str">
        <x:f>IF(OR(R118="",Y118=""),"",R118-Y118)</x:f>
      </x:c>
      <x:c r="AB118" s="90" t="str">
        <x:f>IF($A118="","",IF($B118="취소",0,IF($C118="제외",0,IF($Y118&lt;&gt;"",$Y118,IF($U118&lt;&gt;"",$U118,IF($T118&lt;&gt;"",$T118,$R118))))))</x:f>
      </x:c>
      <x:c r="AC118" s="91"/>
      <x:c r="AD118" s="91"/>
      <x:c r="AE118" s="91"/>
      <x:c r="AF118" s="90" t="str">
        <x:f>IF(AND(AC118="",AD118="",AE118=""),"",SUM(AC118:AE118))</x:f>
      </x:c>
      <x:c r="AG118" s="94"/>
      <x:c r="AH118" s="91" t="str">
        <x:f>IF(Y118="","",Y118-IF(AF118="",0,AF118))</x:f>
      </x:c>
      <x:c r="AI118" s="87"/>
      <x:c r="AJ118" s="87"/>
      <x:c r="AK118" s="87"/>
      <x:c r="AL118" s="87"/>
      <x:c r="AM118" s="87"/>
      <x:c r="AN118" s="85"/>
      <x:c r="AO118" s="85"/>
      <x:c r="AP118" s="85"/>
      <x:c r="AQ118" s="86" t="str">
        <x:f>IF(A118="","",IF(COUNTIF($A$7:$A$156,A118)&gt;1,"ID 중복",IF(F118="","예산 매핑 필요",IF(OR(E118="예산코드 오류",G118="예산코드 오류"),"예산코드 오류",IF(AND(Y118&lt;&gt;"",Z118=""),"구매일 필요",IF(AND(AF118&lt;&gt;"",AG118=""),"지급일 필요",IF(AND(AF118&lt;&gt;"",AN118=""),"증빙ID 필요",IF(OR(Y118&lt;0,AF118&lt;0),"금액 오류",IF(AND(Y118&lt;&gt;"",R118&lt;&gt;"",Y118&gt;R118),"계획 초과","정상")))))))))</x:f>
      </x:c>
    </x:row>
    <x:row r="119" ht="24" customHeight="1">
      <x:c r="A119" s="85"/>
      <x:c r="B119" s="85"/>
      <x:c r="C119" s="85"/>
      <x:c r="D119" s="85"/>
      <x:c r="E119" s="86" t="str">
        <x:f>IF(F119="","",IFERROR(VLOOKUP(F119,'02_승인예산'!$A$7:$S$66,2,FALSE),"예산코드 오류"))</x:f>
      </x:c>
      <x:c r="F119" s="85"/>
      <x:c r="G119" s="86" t="str">
        <x:f>IF(F119="","",IFERROR(VLOOKUP(F119,'02_승인예산'!$A$7:$S$66,4,FALSE),"예산코드 오류"))</x:f>
      </x:c>
      <x:c r="H119" s="85"/>
      <x:c r="I119" s="85"/>
      <x:c r="J119" s="85"/>
      <x:c r="K119" s="85"/>
      <x:c r="L119" s="85"/>
      <x:c r="M119" s="95"/>
      <x:c r="N119" s="92"/>
      <x:c r="O119" s="88"/>
      <x:c r="P119" s="85"/>
      <x:c r="Q119" s="89"/>
      <x:c r="R119" s="90" t="str">
        <x:f>IF(OR(O119="",Q119=""),"",O119*Q119*IF(S119="별도",1.1,1))</x:f>
      </x:c>
      <x:c r="S119" s="85"/>
      <x:c r="T119" s="89"/>
      <x:c r="U119" s="89"/>
      <x:c r="V119" s="92"/>
      <x:c r="W119" s="88"/>
      <x:c r="X119" s="89"/>
      <x:c r="Y119" s="90" t="str">
        <x:f>IF(OR(W119="",X119=""),"",W119*X119*IF(S119="별도",1.1,1))</x:f>
      </x:c>
      <x:c r="Z119" s="93"/>
      <x:c r="AA119" s="90" t="str">
        <x:f>IF(OR(R119="",Y119=""),"",R119-Y119)</x:f>
      </x:c>
      <x:c r="AB119" s="90" t="str">
        <x:f>IF($A119="","",IF($B119="취소",0,IF($C119="제외",0,IF($Y119&lt;&gt;"",$Y119,IF($U119&lt;&gt;"",$U119,IF($T119&lt;&gt;"",$T119,$R119))))))</x:f>
      </x:c>
      <x:c r="AC119" s="91"/>
      <x:c r="AD119" s="91"/>
      <x:c r="AE119" s="91"/>
      <x:c r="AF119" s="90" t="str">
        <x:f>IF(AND(AC119="",AD119="",AE119=""),"",SUM(AC119:AE119))</x:f>
      </x:c>
      <x:c r="AG119" s="94"/>
      <x:c r="AH119" s="91" t="str">
        <x:f>IF(Y119="","",Y119-IF(AF119="",0,AF119))</x:f>
      </x:c>
      <x:c r="AI119" s="87"/>
      <x:c r="AJ119" s="87"/>
      <x:c r="AK119" s="87"/>
      <x:c r="AL119" s="87"/>
      <x:c r="AM119" s="87"/>
      <x:c r="AN119" s="85"/>
      <x:c r="AO119" s="85"/>
      <x:c r="AP119" s="85"/>
      <x:c r="AQ119" s="86" t="str">
        <x:f>IF(A119="","",IF(COUNTIF($A$7:$A$156,A119)&gt;1,"ID 중복",IF(F119="","예산 매핑 필요",IF(OR(E119="예산코드 오류",G119="예산코드 오류"),"예산코드 오류",IF(AND(Y119&lt;&gt;"",Z119=""),"구매일 필요",IF(AND(AF119&lt;&gt;"",AG119=""),"지급일 필요",IF(AND(AF119&lt;&gt;"",AN119=""),"증빙ID 필요",IF(OR(Y119&lt;0,AF119&lt;0),"금액 오류",IF(AND(Y119&lt;&gt;"",R119&lt;&gt;"",Y119&gt;R119),"계획 초과","정상")))))))))</x:f>
      </x:c>
    </x:row>
    <x:row r="120" ht="24" customHeight="1">
      <x:c r="A120" s="85"/>
      <x:c r="B120" s="85"/>
      <x:c r="C120" s="85"/>
      <x:c r="D120" s="85"/>
      <x:c r="E120" s="86" t="str">
        <x:f>IF(F120="","",IFERROR(VLOOKUP(F120,'02_승인예산'!$A$7:$S$66,2,FALSE),"예산코드 오류"))</x:f>
      </x:c>
      <x:c r="F120" s="85"/>
      <x:c r="G120" s="86" t="str">
        <x:f>IF(F120="","",IFERROR(VLOOKUP(F120,'02_승인예산'!$A$7:$S$66,4,FALSE),"예산코드 오류"))</x:f>
      </x:c>
      <x:c r="H120" s="85"/>
      <x:c r="I120" s="85"/>
      <x:c r="J120" s="85"/>
      <x:c r="K120" s="85"/>
      <x:c r="L120" s="85"/>
      <x:c r="M120" s="95"/>
      <x:c r="N120" s="92"/>
      <x:c r="O120" s="88"/>
      <x:c r="P120" s="85"/>
      <x:c r="Q120" s="89"/>
      <x:c r="R120" s="90" t="str">
        <x:f>IF(OR(O120="",Q120=""),"",O120*Q120*IF(S120="별도",1.1,1))</x:f>
      </x:c>
      <x:c r="S120" s="85"/>
      <x:c r="T120" s="89"/>
      <x:c r="U120" s="89"/>
      <x:c r="V120" s="92"/>
      <x:c r="W120" s="88"/>
      <x:c r="X120" s="89"/>
      <x:c r="Y120" s="90" t="str">
        <x:f>IF(OR(W120="",X120=""),"",W120*X120*IF(S120="별도",1.1,1))</x:f>
      </x:c>
      <x:c r="Z120" s="93"/>
      <x:c r="AA120" s="90" t="str">
        <x:f>IF(OR(R120="",Y120=""),"",R120-Y120)</x:f>
      </x:c>
      <x:c r="AB120" s="90" t="str">
        <x:f>IF($A120="","",IF($B120="취소",0,IF($C120="제외",0,IF($Y120&lt;&gt;"",$Y120,IF($U120&lt;&gt;"",$U120,IF($T120&lt;&gt;"",$T120,$R120))))))</x:f>
      </x:c>
      <x:c r="AC120" s="91"/>
      <x:c r="AD120" s="91"/>
      <x:c r="AE120" s="91"/>
      <x:c r="AF120" s="90" t="str">
        <x:f>IF(AND(AC120="",AD120="",AE120=""),"",SUM(AC120:AE120))</x:f>
      </x:c>
      <x:c r="AG120" s="94"/>
      <x:c r="AH120" s="91" t="str">
        <x:f>IF(Y120="","",Y120-IF(AF120="",0,AF120))</x:f>
      </x:c>
      <x:c r="AI120" s="87"/>
      <x:c r="AJ120" s="87"/>
      <x:c r="AK120" s="87"/>
      <x:c r="AL120" s="87"/>
      <x:c r="AM120" s="87"/>
      <x:c r="AN120" s="85"/>
      <x:c r="AO120" s="85"/>
      <x:c r="AP120" s="85"/>
      <x:c r="AQ120" s="86" t="str">
        <x:f>IF(A120="","",IF(COUNTIF($A$7:$A$156,A120)&gt;1,"ID 중복",IF(F120="","예산 매핑 필요",IF(OR(E120="예산코드 오류",G120="예산코드 오류"),"예산코드 오류",IF(AND(Y120&lt;&gt;"",Z120=""),"구매일 필요",IF(AND(AF120&lt;&gt;"",AG120=""),"지급일 필요",IF(AND(AF120&lt;&gt;"",AN120=""),"증빙ID 필요",IF(OR(Y120&lt;0,AF120&lt;0),"금액 오류",IF(AND(Y120&lt;&gt;"",R120&lt;&gt;"",Y120&gt;R120),"계획 초과","정상")))))))))</x:f>
      </x:c>
    </x:row>
    <x:row r="121" ht="24" customHeight="1">
      <x:c r="A121" s="85"/>
      <x:c r="B121" s="85"/>
      <x:c r="C121" s="85"/>
      <x:c r="D121" s="85"/>
      <x:c r="E121" s="86" t="str">
        <x:f>IF(F121="","",IFERROR(VLOOKUP(F121,'02_승인예산'!$A$7:$S$66,2,FALSE),"예산코드 오류"))</x:f>
      </x:c>
      <x:c r="F121" s="85"/>
      <x:c r="G121" s="86" t="str">
        <x:f>IF(F121="","",IFERROR(VLOOKUP(F121,'02_승인예산'!$A$7:$S$66,4,FALSE),"예산코드 오류"))</x:f>
      </x:c>
      <x:c r="H121" s="85"/>
      <x:c r="I121" s="85"/>
      <x:c r="J121" s="85"/>
      <x:c r="K121" s="85"/>
      <x:c r="L121" s="85"/>
      <x:c r="M121" s="95"/>
      <x:c r="N121" s="92"/>
      <x:c r="O121" s="88"/>
      <x:c r="P121" s="85"/>
      <x:c r="Q121" s="89"/>
      <x:c r="R121" s="90" t="str">
        <x:f>IF(OR(O121="",Q121=""),"",O121*Q121*IF(S121="별도",1.1,1))</x:f>
      </x:c>
      <x:c r="S121" s="85"/>
      <x:c r="T121" s="89"/>
      <x:c r="U121" s="89"/>
      <x:c r="V121" s="92"/>
      <x:c r="W121" s="88"/>
      <x:c r="X121" s="89"/>
      <x:c r="Y121" s="90" t="str">
        <x:f>IF(OR(W121="",X121=""),"",W121*X121*IF(S121="별도",1.1,1))</x:f>
      </x:c>
      <x:c r="Z121" s="93"/>
      <x:c r="AA121" s="90" t="str">
        <x:f>IF(OR(R121="",Y121=""),"",R121-Y121)</x:f>
      </x:c>
      <x:c r="AB121" s="90" t="str">
        <x:f>IF($A121="","",IF($B121="취소",0,IF($C121="제외",0,IF($Y121&lt;&gt;"",$Y121,IF($U121&lt;&gt;"",$U121,IF($T121&lt;&gt;"",$T121,$R121))))))</x:f>
      </x:c>
      <x:c r="AC121" s="91"/>
      <x:c r="AD121" s="91"/>
      <x:c r="AE121" s="91"/>
      <x:c r="AF121" s="90" t="str">
        <x:f>IF(AND(AC121="",AD121="",AE121=""),"",SUM(AC121:AE121))</x:f>
      </x:c>
      <x:c r="AG121" s="94"/>
      <x:c r="AH121" s="91" t="str">
        <x:f>IF(Y121="","",Y121-IF(AF121="",0,AF121))</x:f>
      </x:c>
      <x:c r="AI121" s="87"/>
      <x:c r="AJ121" s="87"/>
      <x:c r="AK121" s="87"/>
      <x:c r="AL121" s="87"/>
      <x:c r="AM121" s="87"/>
      <x:c r="AN121" s="85"/>
      <x:c r="AO121" s="85"/>
      <x:c r="AP121" s="85"/>
      <x:c r="AQ121" s="86" t="str">
        <x:f>IF(A121="","",IF(COUNTIF($A$7:$A$156,A121)&gt;1,"ID 중복",IF(F121="","예산 매핑 필요",IF(OR(E121="예산코드 오류",G121="예산코드 오류"),"예산코드 오류",IF(AND(Y121&lt;&gt;"",Z121=""),"구매일 필요",IF(AND(AF121&lt;&gt;"",AG121=""),"지급일 필요",IF(AND(AF121&lt;&gt;"",AN121=""),"증빙ID 필요",IF(OR(Y121&lt;0,AF121&lt;0),"금액 오류",IF(AND(Y121&lt;&gt;"",R121&lt;&gt;"",Y121&gt;R121),"계획 초과","정상")))))))))</x:f>
      </x:c>
    </x:row>
    <x:row r="122" ht="24" customHeight="1">
      <x:c r="A122" s="85"/>
      <x:c r="B122" s="85"/>
      <x:c r="C122" s="85"/>
      <x:c r="D122" s="85"/>
      <x:c r="E122" s="86" t="str">
        <x:f>IF(F122="","",IFERROR(VLOOKUP(F122,'02_승인예산'!$A$7:$S$66,2,FALSE),"예산코드 오류"))</x:f>
      </x:c>
      <x:c r="F122" s="85"/>
      <x:c r="G122" s="86" t="str">
        <x:f>IF(F122="","",IFERROR(VLOOKUP(F122,'02_승인예산'!$A$7:$S$66,4,FALSE),"예산코드 오류"))</x:f>
      </x:c>
      <x:c r="H122" s="85"/>
      <x:c r="I122" s="85"/>
      <x:c r="J122" s="85"/>
      <x:c r="K122" s="85"/>
      <x:c r="L122" s="85"/>
      <x:c r="M122" s="95"/>
      <x:c r="N122" s="92"/>
      <x:c r="O122" s="88"/>
      <x:c r="P122" s="85"/>
      <x:c r="Q122" s="89"/>
      <x:c r="R122" s="90" t="str">
        <x:f>IF(OR(O122="",Q122=""),"",O122*Q122*IF(S122="별도",1.1,1))</x:f>
      </x:c>
      <x:c r="S122" s="85"/>
      <x:c r="T122" s="89"/>
      <x:c r="U122" s="89"/>
      <x:c r="V122" s="92"/>
      <x:c r="W122" s="88"/>
      <x:c r="X122" s="89"/>
      <x:c r="Y122" s="90" t="str">
        <x:f>IF(OR(W122="",X122=""),"",W122*X122*IF(S122="별도",1.1,1))</x:f>
      </x:c>
      <x:c r="Z122" s="93"/>
      <x:c r="AA122" s="90" t="str">
        <x:f>IF(OR(R122="",Y122=""),"",R122-Y122)</x:f>
      </x:c>
      <x:c r="AB122" s="90" t="str">
        <x:f>IF($A122="","",IF($B122="취소",0,IF($C122="제외",0,IF($Y122&lt;&gt;"",$Y122,IF($U122&lt;&gt;"",$U122,IF($T122&lt;&gt;"",$T122,$R122))))))</x:f>
      </x:c>
      <x:c r="AC122" s="91"/>
      <x:c r="AD122" s="91"/>
      <x:c r="AE122" s="91"/>
      <x:c r="AF122" s="90" t="str">
        <x:f>IF(AND(AC122="",AD122="",AE122=""),"",SUM(AC122:AE122))</x:f>
      </x:c>
      <x:c r="AG122" s="94"/>
      <x:c r="AH122" s="91" t="str">
        <x:f>IF(Y122="","",Y122-IF(AF122="",0,AF122))</x:f>
      </x:c>
      <x:c r="AI122" s="87"/>
      <x:c r="AJ122" s="87"/>
      <x:c r="AK122" s="87"/>
      <x:c r="AL122" s="87"/>
      <x:c r="AM122" s="87"/>
      <x:c r="AN122" s="85"/>
      <x:c r="AO122" s="85"/>
      <x:c r="AP122" s="85"/>
      <x:c r="AQ122" s="86" t="str">
        <x:f>IF(A122="","",IF(COUNTIF($A$7:$A$156,A122)&gt;1,"ID 중복",IF(F122="","예산 매핑 필요",IF(OR(E122="예산코드 오류",G122="예산코드 오류"),"예산코드 오류",IF(AND(Y122&lt;&gt;"",Z122=""),"구매일 필요",IF(AND(AF122&lt;&gt;"",AG122=""),"지급일 필요",IF(AND(AF122&lt;&gt;"",AN122=""),"증빙ID 필요",IF(OR(Y122&lt;0,AF122&lt;0),"금액 오류",IF(AND(Y122&lt;&gt;"",R122&lt;&gt;"",Y122&gt;R122),"계획 초과","정상")))))))))</x:f>
      </x:c>
    </x:row>
    <x:row r="123" ht="24" customHeight="1">
      <x:c r="A123" s="85"/>
      <x:c r="B123" s="85"/>
      <x:c r="C123" s="85"/>
      <x:c r="D123" s="85"/>
      <x:c r="E123" s="86" t="str">
        <x:f>IF(F123="","",IFERROR(VLOOKUP(F123,'02_승인예산'!$A$7:$S$66,2,FALSE),"예산코드 오류"))</x:f>
      </x:c>
      <x:c r="F123" s="85"/>
      <x:c r="G123" s="86" t="str">
        <x:f>IF(F123="","",IFERROR(VLOOKUP(F123,'02_승인예산'!$A$7:$S$66,4,FALSE),"예산코드 오류"))</x:f>
      </x:c>
      <x:c r="H123" s="85"/>
      <x:c r="I123" s="85"/>
      <x:c r="J123" s="85"/>
      <x:c r="K123" s="85"/>
      <x:c r="L123" s="85"/>
      <x:c r="M123" s="95"/>
      <x:c r="N123" s="92"/>
      <x:c r="O123" s="88"/>
      <x:c r="P123" s="85"/>
      <x:c r="Q123" s="89"/>
      <x:c r="R123" s="90" t="str">
        <x:f>IF(OR(O123="",Q123=""),"",O123*Q123*IF(S123="별도",1.1,1))</x:f>
      </x:c>
      <x:c r="S123" s="85"/>
      <x:c r="T123" s="89"/>
      <x:c r="U123" s="89"/>
      <x:c r="V123" s="92"/>
      <x:c r="W123" s="88"/>
      <x:c r="X123" s="89"/>
      <x:c r="Y123" s="90" t="str">
        <x:f>IF(OR(W123="",X123=""),"",W123*X123*IF(S123="별도",1.1,1))</x:f>
      </x:c>
      <x:c r="Z123" s="93"/>
      <x:c r="AA123" s="90" t="str">
        <x:f>IF(OR(R123="",Y123=""),"",R123-Y123)</x:f>
      </x:c>
      <x:c r="AB123" s="90" t="str">
        <x:f>IF($A123="","",IF($B123="취소",0,IF($C123="제외",0,IF($Y123&lt;&gt;"",$Y123,IF($U123&lt;&gt;"",$U123,IF($T123&lt;&gt;"",$T123,$R123))))))</x:f>
      </x:c>
      <x:c r="AC123" s="91"/>
      <x:c r="AD123" s="91"/>
      <x:c r="AE123" s="91"/>
      <x:c r="AF123" s="90" t="str">
        <x:f>IF(AND(AC123="",AD123="",AE123=""),"",SUM(AC123:AE123))</x:f>
      </x:c>
      <x:c r="AG123" s="94"/>
      <x:c r="AH123" s="91" t="str">
        <x:f>IF(Y123="","",Y123-IF(AF123="",0,AF123))</x:f>
      </x:c>
      <x:c r="AI123" s="87"/>
      <x:c r="AJ123" s="87"/>
      <x:c r="AK123" s="87"/>
      <x:c r="AL123" s="87"/>
      <x:c r="AM123" s="87"/>
      <x:c r="AN123" s="85"/>
      <x:c r="AO123" s="85"/>
      <x:c r="AP123" s="85"/>
      <x:c r="AQ123" s="86" t="str">
        <x:f>IF(A123="","",IF(COUNTIF($A$7:$A$156,A123)&gt;1,"ID 중복",IF(F123="","예산 매핑 필요",IF(OR(E123="예산코드 오류",G123="예산코드 오류"),"예산코드 오류",IF(AND(Y123&lt;&gt;"",Z123=""),"구매일 필요",IF(AND(AF123&lt;&gt;"",AG123=""),"지급일 필요",IF(AND(AF123&lt;&gt;"",AN123=""),"증빙ID 필요",IF(OR(Y123&lt;0,AF123&lt;0),"금액 오류",IF(AND(Y123&lt;&gt;"",R123&lt;&gt;"",Y123&gt;R123),"계획 초과","정상")))))))))</x:f>
      </x:c>
    </x:row>
    <x:row r="124" ht="24" customHeight="1">
      <x:c r="A124" s="85"/>
      <x:c r="B124" s="85"/>
      <x:c r="C124" s="85"/>
      <x:c r="D124" s="85"/>
      <x:c r="E124" s="86" t="str">
        <x:f>IF(F124="","",IFERROR(VLOOKUP(F124,'02_승인예산'!$A$7:$S$66,2,FALSE),"예산코드 오류"))</x:f>
      </x:c>
      <x:c r="F124" s="85"/>
      <x:c r="G124" s="86" t="str">
        <x:f>IF(F124="","",IFERROR(VLOOKUP(F124,'02_승인예산'!$A$7:$S$66,4,FALSE),"예산코드 오류"))</x:f>
      </x:c>
      <x:c r="H124" s="85"/>
      <x:c r="I124" s="85"/>
      <x:c r="J124" s="85"/>
      <x:c r="K124" s="85"/>
      <x:c r="L124" s="85"/>
      <x:c r="M124" s="95"/>
      <x:c r="N124" s="92"/>
      <x:c r="O124" s="88"/>
      <x:c r="P124" s="85"/>
      <x:c r="Q124" s="89"/>
      <x:c r="R124" s="90" t="str">
        <x:f>IF(OR(O124="",Q124=""),"",O124*Q124*IF(S124="별도",1.1,1))</x:f>
      </x:c>
      <x:c r="S124" s="85"/>
      <x:c r="T124" s="89"/>
      <x:c r="U124" s="89"/>
      <x:c r="V124" s="92"/>
      <x:c r="W124" s="88"/>
      <x:c r="X124" s="89"/>
      <x:c r="Y124" s="90" t="str">
        <x:f>IF(OR(W124="",X124=""),"",W124*X124*IF(S124="별도",1.1,1))</x:f>
      </x:c>
      <x:c r="Z124" s="93"/>
      <x:c r="AA124" s="90" t="str">
        <x:f>IF(OR(R124="",Y124=""),"",R124-Y124)</x:f>
      </x:c>
      <x:c r="AB124" s="90" t="str">
        <x:f>IF($A124="","",IF($B124="취소",0,IF($C124="제외",0,IF($Y124&lt;&gt;"",$Y124,IF($U124&lt;&gt;"",$U124,IF($T124&lt;&gt;"",$T124,$R124))))))</x:f>
      </x:c>
      <x:c r="AC124" s="91"/>
      <x:c r="AD124" s="91"/>
      <x:c r="AE124" s="91"/>
      <x:c r="AF124" s="90" t="str">
        <x:f>IF(AND(AC124="",AD124="",AE124=""),"",SUM(AC124:AE124))</x:f>
      </x:c>
      <x:c r="AG124" s="94"/>
      <x:c r="AH124" s="91" t="str">
        <x:f>IF(Y124="","",Y124-IF(AF124="",0,AF124))</x:f>
      </x:c>
      <x:c r="AI124" s="87"/>
      <x:c r="AJ124" s="87"/>
      <x:c r="AK124" s="87"/>
      <x:c r="AL124" s="87"/>
      <x:c r="AM124" s="87"/>
      <x:c r="AN124" s="85"/>
      <x:c r="AO124" s="85"/>
      <x:c r="AP124" s="85"/>
      <x:c r="AQ124" s="86" t="str">
        <x:f>IF(A124="","",IF(COUNTIF($A$7:$A$156,A124)&gt;1,"ID 중복",IF(F124="","예산 매핑 필요",IF(OR(E124="예산코드 오류",G124="예산코드 오류"),"예산코드 오류",IF(AND(Y124&lt;&gt;"",Z124=""),"구매일 필요",IF(AND(AF124&lt;&gt;"",AG124=""),"지급일 필요",IF(AND(AF124&lt;&gt;"",AN124=""),"증빙ID 필요",IF(OR(Y124&lt;0,AF124&lt;0),"금액 오류",IF(AND(Y124&lt;&gt;"",R124&lt;&gt;"",Y124&gt;R124),"계획 초과","정상")))))))))</x:f>
      </x:c>
    </x:row>
    <x:row r="125" ht="24" customHeight="1">
      <x:c r="A125" s="85"/>
      <x:c r="B125" s="85"/>
      <x:c r="C125" s="85"/>
      <x:c r="D125" s="85"/>
      <x:c r="E125" s="86" t="str">
        <x:f>IF(F125="","",IFERROR(VLOOKUP(F125,'02_승인예산'!$A$7:$S$66,2,FALSE),"예산코드 오류"))</x:f>
      </x:c>
      <x:c r="F125" s="85"/>
      <x:c r="G125" s="86" t="str">
        <x:f>IF(F125="","",IFERROR(VLOOKUP(F125,'02_승인예산'!$A$7:$S$66,4,FALSE),"예산코드 오류"))</x:f>
      </x:c>
      <x:c r="H125" s="85"/>
      <x:c r="I125" s="85"/>
      <x:c r="J125" s="85"/>
      <x:c r="K125" s="85"/>
      <x:c r="L125" s="85"/>
      <x:c r="M125" s="95"/>
      <x:c r="N125" s="92"/>
      <x:c r="O125" s="88"/>
      <x:c r="P125" s="85"/>
      <x:c r="Q125" s="89"/>
      <x:c r="R125" s="90" t="str">
        <x:f>IF(OR(O125="",Q125=""),"",O125*Q125*IF(S125="별도",1.1,1))</x:f>
      </x:c>
      <x:c r="S125" s="85"/>
      <x:c r="T125" s="89"/>
      <x:c r="U125" s="89"/>
      <x:c r="V125" s="92"/>
      <x:c r="W125" s="88"/>
      <x:c r="X125" s="89"/>
      <x:c r="Y125" s="90" t="str">
        <x:f>IF(OR(W125="",X125=""),"",W125*X125*IF(S125="별도",1.1,1))</x:f>
      </x:c>
      <x:c r="Z125" s="93"/>
      <x:c r="AA125" s="90" t="str">
        <x:f>IF(OR(R125="",Y125=""),"",R125-Y125)</x:f>
      </x:c>
      <x:c r="AB125" s="90" t="str">
        <x:f>IF($A125="","",IF($B125="취소",0,IF($C125="제외",0,IF($Y125&lt;&gt;"",$Y125,IF($U125&lt;&gt;"",$U125,IF($T125&lt;&gt;"",$T125,$R125))))))</x:f>
      </x:c>
      <x:c r="AC125" s="91"/>
      <x:c r="AD125" s="91"/>
      <x:c r="AE125" s="91"/>
      <x:c r="AF125" s="90" t="str">
        <x:f>IF(AND(AC125="",AD125="",AE125=""),"",SUM(AC125:AE125))</x:f>
      </x:c>
      <x:c r="AG125" s="94"/>
      <x:c r="AH125" s="91" t="str">
        <x:f>IF(Y125="","",Y125-IF(AF125="",0,AF125))</x:f>
      </x:c>
      <x:c r="AI125" s="87"/>
      <x:c r="AJ125" s="87"/>
      <x:c r="AK125" s="87"/>
      <x:c r="AL125" s="87"/>
      <x:c r="AM125" s="87"/>
      <x:c r="AN125" s="85"/>
      <x:c r="AO125" s="85"/>
      <x:c r="AP125" s="85"/>
      <x:c r="AQ125" s="86" t="str">
        <x:f>IF(A125="","",IF(COUNTIF($A$7:$A$156,A125)&gt;1,"ID 중복",IF(F125="","예산 매핑 필요",IF(OR(E125="예산코드 오류",G125="예산코드 오류"),"예산코드 오류",IF(AND(Y125&lt;&gt;"",Z125=""),"구매일 필요",IF(AND(AF125&lt;&gt;"",AG125=""),"지급일 필요",IF(AND(AF125&lt;&gt;"",AN125=""),"증빙ID 필요",IF(OR(Y125&lt;0,AF125&lt;0),"금액 오류",IF(AND(Y125&lt;&gt;"",R125&lt;&gt;"",Y125&gt;R125),"계획 초과","정상")))))))))</x:f>
      </x:c>
    </x:row>
    <x:row r="126" ht="24" customHeight="1">
      <x:c r="A126" s="85"/>
      <x:c r="B126" s="85"/>
      <x:c r="C126" s="85"/>
      <x:c r="D126" s="85"/>
      <x:c r="E126" s="86" t="str">
        <x:f>IF(F126="","",IFERROR(VLOOKUP(F126,'02_승인예산'!$A$7:$S$66,2,FALSE),"예산코드 오류"))</x:f>
      </x:c>
      <x:c r="F126" s="85"/>
      <x:c r="G126" s="86" t="str">
        <x:f>IF(F126="","",IFERROR(VLOOKUP(F126,'02_승인예산'!$A$7:$S$66,4,FALSE),"예산코드 오류"))</x:f>
      </x:c>
      <x:c r="H126" s="85"/>
      <x:c r="I126" s="85"/>
      <x:c r="J126" s="85"/>
      <x:c r="K126" s="85"/>
      <x:c r="L126" s="85"/>
      <x:c r="M126" s="95"/>
      <x:c r="N126" s="92"/>
      <x:c r="O126" s="88"/>
      <x:c r="P126" s="85"/>
      <x:c r="Q126" s="89"/>
      <x:c r="R126" s="90" t="str">
        <x:f>IF(OR(O126="",Q126=""),"",O126*Q126*IF(S126="별도",1.1,1))</x:f>
      </x:c>
      <x:c r="S126" s="85"/>
      <x:c r="T126" s="89"/>
      <x:c r="U126" s="89"/>
      <x:c r="V126" s="92"/>
      <x:c r="W126" s="88"/>
      <x:c r="X126" s="89"/>
      <x:c r="Y126" s="90" t="str">
        <x:f>IF(OR(W126="",X126=""),"",W126*X126*IF(S126="별도",1.1,1))</x:f>
      </x:c>
      <x:c r="Z126" s="93"/>
      <x:c r="AA126" s="90" t="str">
        <x:f>IF(OR(R126="",Y126=""),"",R126-Y126)</x:f>
      </x:c>
      <x:c r="AB126" s="90" t="str">
        <x:f>IF($A126="","",IF($B126="취소",0,IF($C126="제외",0,IF($Y126&lt;&gt;"",$Y126,IF($U126&lt;&gt;"",$U126,IF($T126&lt;&gt;"",$T126,$R126))))))</x:f>
      </x:c>
      <x:c r="AC126" s="91"/>
      <x:c r="AD126" s="91"/>
      <x:c r="AE126" s="91"/>
      <x:c r="AF126" s="90" t="str">
        <x:f>IF(AND(AC126="",AD126="",AE126=""),"",SUM(AC126:AE126))</x:f>
      </x:c>
      <x:c r="AG126" s="94"/>
      <x:c r="AH126" s="91" t="str">
        <x:f>IF(Y126="","",Y126-IF(AF126="",0,AF126))</x:f>
      </x:c>
      <x:c r="AI126" s="87"/>
      <x:c r="AJ126" s="87"/>
      <x:c r="AK126" s="87"/>
      <x:c r="AL126" s="87"/>
      <x:c r="AM126" s="87"/>
      <x:c r="AN126" s="85"/>
      <x:c r="AO126" s="85"/>
      <x:c r="AP126" s="85"/>
      <x:c r="AQ126" s="86" t="str">
        <x:f>IF(A126="","",IF(COUNTIF($A$7:$A$156,A126)&gt;1,"ID 중복",IF(F126="","예산 매핑 필요",IF(OR(E126="예산코드 오류",G126="예산코드 오류"),"예산코드 오류",IF(AND(Y126&lt;&gt;"",Z126=""),"구매일 필요",IF(AND(AF126&lt;&gt;"",AG126=""),"지급일 필요",IF(AND(AF126&lt;&gt;"",AN126=""),"증빙ID 필요",IF(OR(Y126&lt;0,AF126&lt;0),"금액 오류",IF(AND(Y126&lt;&gt;"",R126&lt;&gt;"",Y126&gt;R126),"계획 초과","정상")))))))))</x:f>
      </x:c>
    </x:row>
    <x:row r="127" ht="24" customHeight="1">
      <x:c r="A127" s="85"/>
      <x:c r="B127" s="85"/>
      <x:c r="C127" s="85"/>
      <x:c r="D127" s="85"/>
      <x:c r="E127" s="86" t="str">
        <x:f>IF(F127="","",IFERROR(VLOOKUP(F127,'02_승인예산'!$A$7:$S$66,2,FALSE),"예산코드 오류"))</x:f>
      </x:c>
      <x:c r="F127" s="85"/>
      <x:c r="G127" s="86" t="str">
        <x:f>IF(F127="","",IFERROR(VLOOKUP(F127,'02_승인예산'!$A$7:$S$66,4,FALSE),"예산코드 오류"))</x:f>
      </x:c>
      <x:c r="H127" s="85"/>
      <x:c r="I127" s="85"/>
      <x:c r="J127" s="85"/>
      <x:c r="K127" s="85"/>
      <x:c r="L127" s="85"/>
      <x:c r="M127" s="95"/>
      <x:c r="N127" s="92"/>
      <x:c r="O127" s="88"/>
      <x:c r="P127" s="85"/>
      <x:c r="Q127" s="89"/>
      <x:c r="R127" s="90" t="str">
        <x:f>IF(OR(O127="",Q127=""),"",O127*Q127*IF(S127="별도",1.1,1))</x:f>
      </x:c>
      <x:c r="S127" s="85"/>
      <x:c r="T127" s="89"/>
      <x:c r="U127" s="89"/>
      <x:c r="V127" s="92"/>
      <x:c r="W127" s="88"/>
      <x:c r="X127" s="89"/>
      <x:c r="Y127" s="90" t="str">
        <x:f>IF(OR(W127="",X127=""),"",W127*X127*IF(S127="별도",1.1,1))</x:f>
      </x:c>
      <x:c r="Z127" s="93"/>
      <x:c r="AA127" s="90" t="str">
        <x:f>IF(OR(R127="",Y127=""),"",R127-Y127)</x:f>
      </x:c>
      <x:c r="AB127" s="90" t="str">
        <x:f>IF($A127="","",IF($B127="취소",0,IF($C127="제외",0,IF($Y127&lt;&gt;"",$Y127,IF($U127&lt;&gt;"",$U127,IF($T127&lt;&gt;"",$T127,$R127))))))</x:f>
      </x:c>
      <x:c r="AC127" s="91"/>
      <x:c r="AD127" s="91"/>
      <x:c r="AE127" s="91"/>
      <x:c r="AF127" s="90" t="str">
        <x:f>IF(AND(AC127="",AD127="",AE127=""),"",SUM(AC127:AE127))</x:f>
      </x:c>
      <x:c r="AG127" s="94"/>
      <x:c r="AH127" s="91" t="str">
        <x:f>IF(Y127="","",Y127-IF(AF127="",0,AF127))</x:f>
      </x:c>
      <x:c r="AI127" s="87"/>
      <x:c r="AJ127" s="87"/>
      <x:c r="AK127" s="87"/>
      <x:c r="AL127" s="87"/>
      <x:c r="AM127" s="87"/>
      <x:c r="AN127" s="85"/>
      <x:c r="AO127" s="85"/>
      <x:c r="AP127" s="85"/>
      <x:c r="AQ127" s="86" t="str">
        <x:f>IF(A127="","",IF(COUNTIF($A$7:$A$156,A127)&gt;1,"ID 중복",IF(F127="","예산 매핑 필요",IF(OR(E127="예산코드 오류",G127="예산코드 오류"),"예산코드 오류",IF(AND(Y127&lt;&gt;"",Z127=""),"구매일 필요",IF(AND(AF127&lt;&gt;"",AG127=""),"지급일 필요",IF(AND(AF127&lt;&gt;"",AN127=""),"증빙ID 필요",IF(OR(Y127&lt;0,AF127&lt;0),"금액 오류",IF(AND(Y127&lt;&gt;"",R127&lt;&gt;"",Y127&gt;R127),"계획 초과","정상")))))))))</x:f>
      </x:c>
    </x:row>
    <x:row r="128" ht="24" customHeight="1">
      <x:c r="A128" s="85"/>
      <x:c r="B128" s="85"/>
      <x:c r="C128" s="85"/>
      <x:c r="D128" s="85"/>
      <x:c r="E128" s="86" t="str">
        <x:f>IF(F128="","",IFERROR(VLOOKUP(F128,'02_승인예산'!$A$7:$S$66,2,FALSE),"예산코드 오류"))</x:f>
      </x:c>
      <x:c r="F128" s="85"/>
      <x:c r="G128" s="86" t="str">
        <x:f>IF(F128="","",IFERROR(VLOOKUP(F128,'02_승인예산'!$A$7:$S$66,4,FALSE),"예산코드 오류"))</x:f>
      </x:c>
      <x:c r="H128" s="85"/>
      <x:c r="I128" s="85"/>
      <x:c r="J128" s="85"/>
      <x:c r="K128" s="85"/>
      <x:c r="L128" s="85"/>
      <x:c r="M128" s="95"/>
      <x:c r="N128" s="92"/>
      <x:c r="O128" s="88"/>
      <x:c r="P128" s="85"/>
      <x:c r="Q128" s="89"/>
      <x:c r="R128" s="90" t="str">
        <x:f>IF(OR(O128="",Q128=""),"",O128*Q128*IF(S128="별도",1.1,1))</x:f>
      </x:c>
      <x:c r="S128" s="85"/>
      <x:c r="T128" s="89"/>
      <x:c r="U128" s="89"/>
      <x:c r="V128" s="92"/>
      <x:c r="W128" s="88"/>
      <x:c r="X128" s="89"/>
      <x:c r="Y128" s="90" t="str">
        <x:f>IF(OR(W128="",X128=""),"",W128*X128*IF(S128="별도",1.1,1))</x:f>
      </x:c>
      <x:c r="Z128" s="93"/>
      <x:c r="AA128" s="90" t="str">
        <x:f>IF(OR(R128="",Y128=""),"",R128-Y128)</x:f>
      </x:c>
      <x:c r="AB128" s="90" t="str">
        <x:f>IF($A128="","",IF($B128="취소",0,IF($C128="제외",0,IF($Y128&lt;&gt;"",$Y128,IF($U128&lt;&gt;"",$U128,IF($T128&lt;&gt;"",$T128,$R128))))))</x:f>
      </x:c>
      <x:c r="AC128" s="91"/>
      <x:c r="AD128" s="91"/>
      <x:c r="AE128" s="91"/>
      <x:c r="AF128" s="90" t="str">
        <x:f>IF(AND(AC128="",AD128="",AE128=""),"",SUM(AC128:AE128))</x:f>
      </x:c>
      <x:c r="AG128" s="94"/>
      <x:c r="AH128" s="91" t="str">
        <x:f>IF(Y128="","",Y128-IF(AF128="",0,AF128))</x:f>
      </x:c>
      <x:c r="AI128" s="87"/>
      <x:c r="AJ128" s="87"/>
      <x:c r="AK128" s="87"/>
      <x:c r="AL128" s="87"/>
      <x:c r="AM128" s="87"/>
      <x:c r="AN128" s="85"/>
      <x:c r="AO128" s="85"/>
      <x:c r="AP128" s="85"/>
      <x:c r="AQ128" s="86" t="str">
        <x:f>IF(A128="","",IF(COUNTIF($A$7:$A$156,A128)&gt;1,"ID 중복",IF(F128="","예산 매핑 필요",IF(OR(E128="예산코드 오류",G128="예산코드 오류"),"예산코드 오류",IF(AND(Y128&lt;&gt;"",Z128=""),"구매일 필요",IF(AND(AF128&lt;&gt;"",AG128=""),"지급일 필요",IF(AND(AF128&lt;&gt;"",AN128=""),"증빙ID 필요",IF(OR(Y128&lt;0,AF128&lt;0),"금액 오류",IF(AND(Y128&lt;&gt;"",R128&lt;&gt;"",Y128&gt;R128),"계획 초과","정상")))))))))</x:f>
      </x:c>
    </x:row>
    <x:row r="129" ht="24" customHeight="1">
      <x:c r="A129" s="85"/>
      <x:c r="B129" s="85"/>
      <x:c r="C129" s="85"/>
      <x:c r="D129" s="85"/>
      <x:c r="E129" s="86" t="str">
        <x:f>IF(F129="","",IFERROR(VLOOKUP(F129,'02_승인예산'!$A$7:$S$66,2,FALSE),"예산코드 오류"))</x:f>
      </x:c>
      <x:c r="F129" s="85"/>
      <x:c r="G129" s="86" t="str">
        <x:f>IF(F129="","",IFERROR(VLOOKUP(F129,'02_승인예산'!$A$7:$S$66,4,FALSE),"예산코드 오류"))</x:f>
      </x:c>
      <x:c r="H129" s="85"/>
      <x:c r="I129" s="85"/>
      <x:c r="J129" s="85"/>
      <x:c r="K129" s="85"/>
      <x:c r="L129" s="85"/>
      <x:c r="M129" s="95"/>
      <x:c r="N129" s="92"/>
      <x:c r="O129" s="88"/>
      <x:c r="P129" s="85"/>
      <x:c r="Q129" s="89"/>
      <x:c r="R129" s="90" t="str">
        <x:f>IF(OR(O129="",Q129=""),"",O129*Q129*IF(S129="별도",1.1,1))</x:f>
      </x:c>
      <x:c r="S129" s="85"/>
      <x:c r="T129" s="89"/>
      <x:c r="U129" s="89"/>
      <x:c r="V129" s="92"/>
      <x:c r="W129" s="88"/>
      <x:c r="X129" s="89"/>
      <x:c r="Y129" s="90" t="str">
        <x:f>IF(OR(W129="",X129=""),"",W129*X129*IF(S129="별도",1.1,1))</x:f>
      </x:c>
      <x:c r="Z129" s="93"/>
      <x:c r="AA129" s="90" t="str">
        <x:f>IF(OR(R129="",Y129=""),"",R129-Y129)</x:f>
      </x:c>
      <x:c r="AB129" s="90" t="str">
        <x:f>IF($A129="","",IF($B129="취소",0,IF($C129="제외",0,IF($Y129&lt;&gt;"",$Y129,IF($U129&lt;&gt;"",$U129,IF($T129&lt;&gt;"",$T129,$R129))))))</x:f>
      </x:c>
      <x:c r="AC129" s="91"/>
      <x:c r="AD129" s="91"/>
      <x:c r="AE129" s="91"/>
      <x:c r="AF129" s="90" t="str">
        <x:f>IF(AND(AC129="",AD129="",AE129=""),"",SUM(AC129:AE129))</x:f>
      </x:c>
      <x:c r="AG129" s="94"/>
      <x:c r="AH129" s="91" t="str">
        <x:f>IF(Y129="","",Y129-IF(AF129="",0,AF129))</x:f>
      </x:c>
      <x:c r="AI129" s="87"/>
      <x:c r="AJ129" s="87"/>
      <x:c r="AK129" s="87"/>
      <x:c r="AL129" s="87"/>
      <x:c r="AM129" s="87"/>
      <x:c r="AN129" s="85"/>
      <x:c r="AO129" s="85"/>
      <x:c r="AP129" s="85"/>
      <x:c r="AQ129" s="86" t="str">
        <x:f>IF(A129="","",IF(COUNTIF($A$7:$A$156,A129)&gt;1,"ID 중복",IF(F129="","예산 매핑 필요",IF(OR(E129="예산코드 오류",G129="예산코드 오류"),"예산코드 오류",IF(AND(Y129&lt;&gt;"",Z129=""),"구매일 필요",IF(AND(AF129&lt;&gt;"",AG129=""),"지급일 필요",IF(AND(AF129&lt;&gt;"",AN129=""),"증빙ID 필요",IF(OR(Y129&lt;0,AF129&lt;0),"금액 오류",IF(AND(Y129&lt;&gt;"",R129&lt;&gt;"",Y129&gt;R129),"계획 초과","정상")))))))))</x:f>
      </x:c>
    </x:row>
    <x:row r="130" ht="24" customHeight="1">
      <x:c r="A130" s="85"/>
      <x:c r="B130" s="85"/>
      <x:c r="C130" s="85"/>
      <x:c r="D130" s="85"/>
      <x:c r="E130" s="86" t="str">
        <x:f>IF(F130="","",IFERROR(VLOOKUP(F130,'02_승인예산'!$A$7:$S$66,2,FALSE),"예산코드 오류"))</x:f>
      </x:c>
      <x:c r="F130" s="85"/>
      <x:c r="G130" s="86" t="str">
        <x:f>IF(F130="","",IFERROR(VLOOKUP(F130,'02_승인예산'!$A$7:$S$66,4,FALSE),"예산코드 오류"))</x:f>
      </x:c>
      <x:c r="H130" s="85"/>
      <x:c r="I130" s="85"/>
      <x:c r="J130" s="85"/>
      <x:c r="K130" s="85"/>
      <x:c r="L130" s="85"/>
      <x:c r="M130" s="95"/>
      <x:c r="N130" s="92"/>
      <x:c r="O130" s="88"/>
      <x:c r="P130" s="85"/>
      <x:c r="Q130" s="89"/>
      <x:c r="R130" s="90" t="str">
        <x:f>IF(OR(O130="",Q130=""),"",O130*Q130*IF(S130="별도",1.1,1))</x:f>
      </x:c>
      <x:c r="S130" s="85"/>
      <x:c r="T130" s="89"/>
      <x:c r="U130" s="89"/>
      <x:c r="V130" s="92"/>
      <x:c r="W130" s="88"/>
      <x:c r="X130" s="89"/>
      <x:c r="Y130" s="90" t="str">
        <x:f>IF(OR(W130="",X130=""),"",W130*X130*IF(S130="별도",1.1,1))</x:f>
      </x:c>
      <x:c r="Z130" s="93"/>
      <x:c r="AA130" s="90" t="str">
        <x:f>IF(OR(R130="",Y130=""),"",R130-Y130)</x:f>
      </x:c>
      <x:c r="AB130" s="90" t="str">
        <x:f>IF($A130="","",IF($B130="취소",0,IF($C130="제외",0,IF($Y130&lt;&gt;"",$Y130,IF($U130&lt;&gt;"",$U130,IF($T130&lt;&gt;"",$T130,$R130))))))</x:f>
      </x:c>
      <x:c r="AC130" s="91"/>
      <x:c r="AD130" s="91"/>
      <x:c r="AE130" s="91"/>
      <x:c r="AF130" s="90" t="str">
        <x:f>IF(AND(AC130="",AD130="",AE130=""),"",SUM(AC130:AE130))</x:f>
      </x:c>
      <x:c r="AG130" s="94"/>
      <x:c r="AH130" s="91" t="str">
        <x:f>IF(Y130="","",Y130-IF(AF130="",0,AF130))</x:f>
      </x:c>
      <x:c r="AI130" s="87"/>
      <x:c r="AJ130" s="87"/>
      <x:c r="AK130" s="87"/>
      <x:c r="AL130" s="87"/>
      <x:c r="AM130" s="87"/>
      <x:c r="AN130" s="85"/>
      <x:c r="AO130" s="85"/>
      <x:c r="AP130" s="85"/>
      <x:c r="AQ130" s="86" t="str">
        <x:f>IF(A130="","",IF(COUNTIF($A$7:$A$156,A130)&gt;1,"ID 중복",IF(F130="","예산 매핑 필요",IF(OR(E130="예산코드 오류",G130="예산코드 오류"),"예산코드 오류",IF(AND(Y130&lt;&gt;"",Z130=""),"구매일 필요",IF(AND(AF130&lt;&gt;"",AG130=""),"지급일 필요",IF(AND(AF130&lt;&gt;"",AN130=""),"증빙ID 필요",IF(OR(Y130&lt;0,AF130&lt;0),"금액 오류",IF(AND(Y130&lt;&gt;"",R130&lt;&gt;"",Y130&gt;R130),"계획 초과","정상")))))))))</x:f>
      </x:c>
    </x:row>
    <x:row r="131" ht="24" customHeight="1">
      <x:c r="A131" s="85"/>
      <x:c r="B131" s="85"/>
      <x:c r="C131" s="85"/>
      <x:c r="D131" s="85"/>
      <x:c r="E131" s="86" t="str">
        <x:f>IF(F131="","",IFERROR(VLOOKUP(F131,'02_승인예산'!$A$7:$S$66,2,FALSE),"예산코드 오류"))</x:f>
      </x:c>
      <x:c r="F131" s="85"/>
      <x:c r="G131" s="86" t="str">
        <x:f>IF(F131="","",IFERROR(VLOOKUP(F131,'02_승인예산'!$A$7:$S$66,4,FALSE),"예산코드 오류"))</x:f>
      </x:c>
      <x:c r="H131" s="85"/>
      <x:c r="I131" s="85"/>
      <x:c r="J131" s="85"/>
      <x:c r="K131" s="85"/>
      <x:c r="L131" s="85"/>
      <x:c r="M131" s="95"/>
      <x:c r="N131" s="92"/>
      <x:c r="O131" s="88"/>
      <x:c r="P131" s="85"/>
      <x:c r="Q131" s="89"/>
      <x:c r="R131" s="90" t="str">
        <x:f>IF(OR(O131="",Q131=""),"",O131*Q131*IF(S131="별도",1.1,1))</x:f>
      </x:c>
      <x:c r="S131" s="85"/>
      <x:c r="T131" s="89"/>
      <x:c r="U131" s="89"/>
      <x:c r="V131" s="92"/>
      <x:c r="W131" s="88"/>
      <x:c r="X131" s="89"/>
      <x:c r="Y131" s="90" t="str">
        <x:f>IF(OR(W131="",X131=""),"",W131*X131*IF(S131="별도",1.1,1))</x:f>
      </x:c>
      <x:c r="Z131" s="93"/>
      <x:c r="AA131" s="90" t="str">
        <x:f>IF(OR(R131="",Y131=""),"",R131-Y131)</x:f>
      </x:c>
      <x:c r="AB131" s="90" t="str">
        <x:f>IF($A131="","",IF($B131="취소",0,IF($C131="제외",0,IF($Y131&lt;&gt;"",$Y131,IF($U131&lt;&gt;"",$U131,IF($T131&lt;&gt;"",$T131,$R131))))))</x:f>
      </x:c>
      <x:c r="AC131" s="91"/>
      <x:c r="AD131" s="91"/>
      <x:c r="AE131" s="91"/>
      <x:c r="AF131" s="90" t="str">
        <x:f>IF(AND(AC131="",AD131="",AE131=""),"",SUM(AC131:AE131))</x:f>
      </x:c>
      <x:c r="AG131" s="94"/>
      <x:c r="AH131" s="91" t="str">
        <x:f>IF(Y131="","",Y131-IF(AF131="",0,AF131))</x:f>
      </x:c>
      <x:c r="AI131" s="87"/>
      <x:c r="AJ131" s="87"/>
      <x:c r="AK131" s="87"/>
      <x:c r="AL131" s="87"/>
      <x:c r="AM131" s="87"/>
      <x:c r="AN131" s="85"/>
      <x:c r="AO131" s="85"/>
      <x:c r="AP131" s="85"/>
      <x:c r="AQ131" s="86" t="str">
        <x:f>IF(A131="","",IF(COUNTIF($A$7:$A$156,A131)&gt;1,"ID 중복",IF(F131="","예산 매핑 필요",IF(OR(E131="예산코드 오류",G131="예산코드 오류"),"예산코드 오류",IF(AND(Y131&lt;&gt;"",Z131=""),"구매일 필요",IF(AND(AF131&lt;&gt;"",AG131=""),"지급일 필요",IF(AND(AF131&lt;&gt;"",AN131=""),"증빙ID 필요",IF(OR(Y131&lt;0,AF131&lt;0),"금액 오류",IF(AND(Y131&lt;&gt;"",R131&lt;&gt;"",Y131&gt;R131),"계획 초과","정상")))))))))</x:f>
      </x:c>
    </x:row>
    <x:row r="132" ht="24" customHeight="1">
      <x:c r="A132" s="85"/>
      <x:c r="B132" s="85"/>
      <x:c r="C132" s="85"/>
      <x:c r="D132" s="85"/>
      <x:c r="E132" s="86" t="str">
        <x:f>IF(F132="","",IFERROR(VLOOKUP(F132,'02_승인예산'!$A$7:$S$66,2,FALSE),"예산코드 오류"))</x:f>
      </x:c>
      <x:c r="F132" s="85"/>
      <x:c r="G132" s="86" t="str">
        <x:f>IF(F132="","",IFERROR(VLOOKUP(F132,'02_승인예산'!$A$7:$S$66,4,FALSE),"예산코드 오류"))</x:f>
      </x:c>
      <x:c r="H132" s="85"/>
      <x:c r="I132" s="85"/>
      <x:c r="J132" s="85"/>
      <x:c r="K132" s="85"/>
      <x:c r="L132" s="85"/>
      <x:c r="M132" s="95"/>
      <x:c r="N132" s="92"/>
      <x:c r="O132" s="88"/>
      <x:c r="P132" s="85"/>
      <x:c r="Q132" s="89"/>
      <x:c r="R132" s="90" t="str">
        <x:f>IF(OR(O132="",Q132=""),"",O132*Q132*IF(S132="별도",1.1,1))</x:f>
      </x:c>
      <x:c r="S132" s="85"/>
      <x:c r="T132" s="89"/>
      <x:c r="U132" s="89"/>
      <x:c r="V132" s="92"/>
      <x:c r="W132" s="88"/>
      <x:c r="X132" s="89"/>
      <x:c r="Y132" s="90" t="str">
        <x:f>IF(OR(W132="",X132=""),"",W132*X132*IF(S132="별도",1.1,1))</x:f>
      </x:c>
      <x:c r="Z132" s="93"/>
      <x:c r="AA132" s="90" t="str">
        <x:f>IF(OR(R132="",Y132=""),"",R132-Y132)</x:f>
      </x:c>
      <x:c r="AB132" s="90" t="str">
        <x:f>IF($A132="","",IF($B132="취소",0,IF($C132="제외",0,IF($Y132&lt;&gt;"",$Y132,IF($U132&lt;&gt;"",$U132,IF($T132&lt;&gt;"",$T132,$R132))))))</x:f>
      </x:c>
      <x:c r="AC132" s="91"/>
      <x:c r="AD132" s="91"/>
      <x:c r="AE132" s="91"/>
      <x:c r="AF132" s="90" t="str">
        <x:f>IF(AND(AC132="",AD132="",AE132=""),"",SUM(AC132:AE132))</x:f>
      </x:c>
      <x:c r="AG132" s="94"/>
      <x:c r="AH132" s="91" t="str">
        <x:f>IF(Y132="","",Y132-IF(AF132="",0,AF132))</x:f>
      </x:c>
      <x:c r="AI132" s="87"/>
      <x:c r="AJ132" s="87"/>
      <x:c r="AK132" s="87"/>
      <x:c r="AL132" s="87"/>
      <x:c r="AM132" s="87"/>
      <x:c r="AN132" s="85"/>
      <x:c r="AO132" s="85"/>
      <x:c r="AP132" s="85"/>
      <x:c r="AQ132" s="86" t="str">
        <x:f>IF(A132="","",IF(COUNTIF($A$7:$A$156,A132)&gt;1,"ID 중복",IF(F132="","예산 매핑 필요",IF(OR(E132="예산코드 오류",G132="예산코드 오류"),"예산코드 오류",IF(AND(Y132&lt;&gt;"",Z132=""),"구매일 필요",IF(AND(AF132&lt;&gt;"",AG132=""),"지급일 필요",IF(AND(AF132&lt;&gt;"",AN132=""),"증빙ID 필요",IF(OR(Y132&lt;0,AF132&lt;0),"금액 오류",IF(AND(Y132&lt;&gt;"",R132&lt;&gt;"",Y132&gt;R132),"계획 초과","정상")))))))))</x:f>
      </x:c>
    </x:row>
    <x:row r="133" ht="24" customHeight="1">
      <x:c r="A133" s="85"/>
      <x:c r="B133" s="85"/>
      <x:c r="C133" s="85"/>
      <x:c r="D133" s="85"/>
      <x:c r="E133" s="86" t="str">
        <x:f>IF(F133="","",IFERROR(VLOOKUP(F133,'02_승인예산'!$A$7:$S$66,2,FALSE),"예산코드 오류"))</x:f>
      </x:c>
      <x:c r="F133" s="85"/>
      <x:c r="G133" s="86" t="str">
        <x:f>IF(F133="","",IFERROR(VLOOKUP(F133,'02_승인예산'!$A$7:$S$66,4,FALSE),"예산코드 오류"))</x:f>
      </x:c>
      <x:c r="H133" s="85"/>
      <x:c r="I133" s="85"/>
      <x:c r="J133" s="85"/>
      <x:c r="K133" s="85"/>
      <x:c r="L133" s="85"/>
      <x:c r="M133" s="95"/>
      <x:c r="N133" s="92"/>
      <x:c r="O133" s="88"/>
      <x:c r="P133" s="85"/>
      <x:c r="Q133" s="89"/>
      <x:c r="R133" s="90" t="str">
        <x:f>IF(OR(O133="",Q133=""),"",O133*Q133*IF(S133="별도",1.1,1))</x:f>
      </x:c>
      <x:c r="S133" s="85"/>
      <x:c r="T133" s="89"/>
      <x:c r="U133" s="89"/>
      <x:c r="V133" s="92"/>
      <x:c r="W133" s="88"/>
      <x:c r="X133" s="89"/>
      <x:c r="Y133" s="90" t="str">
        <x:f>IF(OR(W133="",X133=""),"",W133*X133*IF(S133="별도",1.1,1))</x:f>
      </x:c>
      <x:c r="Z133" s="93"/>
      <x:c r="AA133" s="90" t="str">
        <x:f>IF(OR(R133="",Y133=""),"",R133-Y133)</x:f>
      </x:c>
      <x:c r="AB133" s="90" t="str">
        <x:f>IF($A133="","",IF($B133="취소",0,IF($C133="제외",0,IF($Y133&lt;&gt;"",$Y133,IF($U133&lt;&gt;"",$U133,IF($T133&lt;&gt;"",$T133,$R133))))))</x:f>
      </x:c>
      <x:c r="AC133" s="91"/>
      <x:c r="AD133" s="91"/>
      <x:c r="AE133" s="91"/>
      <x:c r="AF133" s="90" t="str">
        <x:f>IF(AND(AC133="",AD133="",AE133=""),"",SUM(AC133:AE133))</x:f>
      </x:c>
      <x:c r="AG133" s="94"/>
      <x:c r="AH133" s="91" t="str">
        <x:f>IF(Y133="","",Y133-IF(AF133="",0,AF133))</x:f>
      </x:c>
      <x:c r="AI133" s="87"/>
      <x:c r="AJ133" s="87"/>
      <x:c r="AK133" s="87"/>
      <x:c r="AL133" s="87"/>
      <x:c r="AM133" s="87"/>
      <x:c r="AN133" s="85"/>
      <x:c r="AO133" s="85"/>
      <x:c r="AP133" s="85"/>
      <x:c r="AQ133" s="86" t="str">
        <x:f>IF(A133="","",IF(COUNTIF($A$7:$A$156,A133)&gt;1,"ID 중복",IF(F133="","예산 매핑 필요",IF(OR(E133="예산코드 오류",G133="예산코드 오류"),"예산코드 오류",IF(AND(Y133&lt;&gt;"",Z133=""),"구매일 필요",IF(AND(AF133&lt;&gt;"",AG133=""),"지급일 필요",IF(AND(AF133&lt;&gt;"",AN133=""),"증빙ID 필요",IF(OR(Y133&lt;0,AF133&lt;0),"금액 오류",IF(AND(Y133&lt;&gt;"",R133&lt;&gt;"",Y133&gt;R133),"계획 초과","정상")))))))))</x:f>
      </x:c>
    </x:row>
    <x:row r="134" ht="24" customHeight="1">
      <x:c r="A134" s="85"/>
      <x:c r="B134" s="85"/>
      <x:c r="C134" s="85"/>
      <x:c r="D134" s="85"/>
      <x:c r="E134" s="86" t="str">
        <x:f>IF(F134="","",IFERROR(VLOOKUP(F134,'02_승인예산'!$A$7:$S$66,2,FALSE),"예산코드 오류"))</x:f>
      </x:c>
      <x:c r="F134" s="85"/>
      <x:c r="G134" s="86" t="str">
        <x:f>IF(F134="","",IFERROR(VLOOKUP(F134,'02_승인예산'!$A$7:$S$66,4,FALSE),"예산코드 오류"))</x:f>
      </x:c>
      <x:c r="H134" s="85"/>
      <x:c r="I134" s="85"/>
      <x:c r="J134" s="85"/>
      <x:c r="K134" s="85"/>
      <x:c r="L134" s="85"/>
      <x:c r="M134" s="95"/>
      <x:c r="N134" s="92"/>
      <x:c r="O134" s="88"/>
      <x:c r="P134" s="85"/>
      <x:c r="Q134" s="89"/>
      <x:c r="R134" s="90" t="str">
        <x:f>IF(OR(O134="",Q134=""),"",O134*Q134*IF(S134="별도",1.1,1))</x:f>
      </x:c>
      <x:c r="S134" s="85"/>
      <x:c r="T134" s="89"/>
      <x:c r="U134" s="89"/>
      <x:c r="V134" s="92"/>
      <x:c r="W134" s="88"/>
      <x:c r="X134" s="89"/>
      <x:c r="Y134" s="90" t="str">
        <x:f>IF(OR(W134="",X134=""),"",W134*X134*IF(S134="별도",1.1,1))</x:f>
      </x:c>
      <x:c r="Z134" s="93"/>
      <x:c r="AA134" s="90" t="str">
        <x:f>IF(OR(R134="",Y134=""),"",R134-Y134)</x:f>
      </x:c>
      <x:c r="AB134" s="90" t="str">
        <x:f>IF($A134="","",IF($B134="취소",0,IF($C134="제외",0,IF($Y134&lt;&gt;"",$Y134,IF($U134&lt;&gt;"",$U134,IF($T134&lt;&gt;"",$T134,$R134))))))</x:f>
      </x:c>
      <x:c r="AC134" s="91"/>
      <x:c r="AD134" s="91"/>
      <x:c r="AE134" s="91"/>
      <x:c r="AF134" s="90" t="str">
        <x:f>IF(AND(AC134="",AD134="",AE134=""),"",SUM(AC134:AE134))</x:f>
      </x:c>
      <x:c r="AG134" s="94"/>
      <x:c r="AH134" s="91" t="str">
        <x:f>IF(Y134="","",Y134-IF(AF134="",0,AF134))</x:f>
      </x:c>
      <x:c r="AI134" s="87"/>
      <x:c r="AJ134" s="87"/>
      <x:c r="AK134" s="87"/>
      <x:c r="AL134" s="87"/>
      <x:c r="AM134" s="87"/>
      <x:c r="AN134" s="85"/>
      <x:c r="AO134" s="85"/>
      <x:c r="AP134" s="85"/>
      <x:c r="AQ134" s="86" t="str">
        <x:f>IF(A134="","",IF(COUNTIF($A$7:$A$156,A134)&gt;1,"ID 중복",IF(F134="","예산 매핑 필요",IF(OR(E134="예산코드 오류",G134="예산코드 오류"),"예산코드 오류",IF(AND(Y134&lt;&gt;"",Z134=""),"구매일 필요",IF(AND(AF134&lt;&gt;"",AG134=""),"지급일 필요",IF(AND(AF134&lt;&gt;"",AN134=""),"증빙ID 필요",IF(OR(Y134&lt;0,AF134&lt;0),"금액 오류",IF(AND(Y134&lt;&gt;"",R134&lt;&gt;"",Y134&gt;R134),"계획 초과","정상")))))))))</x:f>
      </x:c>
    </x:row>
    <x:row r="135" ht="24" customHeight="1">
      <x:c r="A135" s="85"/>
      <x:c r="B135" s="85"/>
      <x:c r="C135" s="85"/>
      <x:c r="D135" s="85"/>
      <x:c r="E135" s="86" t="str">
        <x:f>IF(F135="","",IFERROR(VLOOKUP(F135,'02_승인예산'!$A$7:$S$66,2,FALSE),"예산코드 오류"))</x:f>
      </x:c>
      <x:c r="F135" s="85"/>
      <x:c r="G135" s="86" t="str">
        <x:f>IF(F135="","",IFERROR(VLOOKUP(F135,'02_승인예산'!$A$7:$S$66,4,FALSE),"예산코드 오류"))</x:f>
      </x:c>
      <x:c r="H135" s="85"/>
      <x:c r="I135" s="85"/>
      <x:c r="J135" s="85"/>
      <x:c r="K135" s="85"/>
      <x:c r="L135" s="85"/>
      <x:c r="M135" s="95"/>
      <x:c r="N135" s="92"/>
      <x:c r="O135" s="88"/>
      <x:c r="P135" s="85"/>
      <x:c r="Q135" s="89"/>
      <x:c r="R135" s="90" t="str">
        <x:f>IF(OR(O135="",Q135=""),"",O135*Q135*IF(S135="별도",1.1,1))</x:f>
      </x:c>
      <x:c r="S135" s="85"/>
      <x:c r="T135" s="89"/>
      <x:c r="U135" s="89"/>
      <x:c r="V135" s="92"/>
      <x:c r="W135" s="88"/>
      <x:c r="X135" s="89"/>
      <x:c r="Y135" s="90" t="str">
        <x:f>IF(OR(W135="",X135=""),"",W135*X135*IF(S135="별도",1.1,1))</x:f>
      </x:c>
      <x:c r="Z135" s="93"/>
      <x:c r="AA135" s="90" t="str">
        <x:f>IF(OR(R135="",Y135=""),"",R135-Y135)</x:f>
      </x:c>
      <x:c r="AB135" s="90" t="str">
        <x:f>IF($A135="","",IF($B135="취소",0,IF($C135="제외",0,IF($Y135&lt;&gt;"",$Y135,IF($U135&lt;&gt;"",$U135,IF($T135&lt;&gt;"",$T135,$R135))))))</x:f>
      </x:c>
      <x:c r="AC135" s="91"/>
      <x:c r="AD135" s="91"/>
      <x:c r="AE135" s="91"/>
      <x:c r="AF135" s="90" t="str">
        <x:f>IF(AND(AC135="",AD135="",AE135=""),"",SUM(AC135:AE135))</x:f>
      </x:c>
      <x:c r="AG135" s="94"/>
      <x:c r="AH135" s="91" t="str">
        <x:f>IF(Y135="","",Y135-IF(AF135="",0,AF135))</x:f>
      </x:c>
      <x:c r="AI135" s="87"/>
      <x:c r="AJ135" s="87"/>
      <x:c r="AK135" s="87"/>
      <x:c r="AL135" s="87"/>
      <x:c r="AM135" s="87"/>
      <x:c r="AN135" s="85"/>
      <x:c r="AO135" s="85"/>
      <x:c r="AP135" s="85"/>
      <x:c r="AQ135" s="86" t="str">
        <x:f>IF(A135="","",IF(COUNTIF($A$7:$A$156,A135)&gt;1,"ID 중복",IF(F135="","예산 매핑 필요",IF(OR(E135="예산코드 오류",G135="예산코드 오류"),"예산코드 오류",IF(AND(Y135&lt;&gt;"",Z135=""),"구매일 필요",IF(AND(AF135&lt;&gt;"",AG135=""),"지급일 필요",IF(AND(AF135&lt;&gt;"",AN135=""),"증빙ID 필요",IF(OR(Y135&lt;0,AF135&lt;0),"금액 오류",IF(AND(Y135&lt;&gt;"",R135&lt;&gt;"",Y135&gt;R135),"계획 초과","정상")))))))))</x:f>
      </x:c>
    </x:row>
    <x:row r="136" ht="24" customHeight="1">
      <x:c r="A136" s="85"/>
      <x:c r="B136" s="85"/>
      <x:c r="C136" s="85"/>
      <x:c r="D136" s="85"/>
      <x:c r="E136" s="86" t="str">
        <x:f>IF(F136="","",IFERROR(VLOOKUP(F136,'02_승인예산'!$A$7:$S$66,2,FALSE),"예산코드 오류"))</x:f>
      </x:c>
      <x:c r="F136" s="85"/>
      <x:c r="G136" s="86" t="str">
        <x:f>IF(F136="","",IFERROR(VLOOKUP(F136,'02_승인예산'!$A$7:$S$66,4,FALSE),"예산코드 오류"))</x:f>
      </x:c>
      <x:c r="H136" s="85"/>
      <x:c r="I136" s="85"/>
      <x:c r="J136" s="85"/>
      <x:c r="K136" s="85"/>
      <x:c r="L136" s="85"/>
      <x:c r="M136" s="95"/>
      <x:c r="N136" s="92"/>
      <x:c r="O136" s="88"/>
      <x:c r="P136" s="85"/>
      <x:c r="Q136" s="89"/>
      <x:c r="R136" s="90" t="str">
        <x:f>IF(OR(O136="",Q136=""),"",O136*Q136*IF(S136="별도",1.1,1))</x:f>
      </x:c>
      <x:c r="S136" s="85"/>
      <x:c r="T136" s="89"/>
      <x:c r="U136" s="89"/>
      <x:c r="V136" s="92"/>
      <x:c r="W136" s="88"/>
      <x:c r="X136" s="89"/>
      <x:c r="Y136" s="90" t="str">
        <x:f>IF(OR(W136="",X136=""),"",W136*X136*IF(S136="별도",1.1,1))</x:f>
      </x:c>
      <x:c r="Z136" s="93"/>
      <x:c r="AA136" s="90" t="str">
        <x:f>IF(OR(R136="",Y136=""),"",R136-Y136)</x:f>
      </x:c>
      <x:c r="AB136" s="90" t="str">
        <x:f>IF($A136="","",IF($B136="취소",0,IF($C136="제외",0,IF($Y136&lt;&gt;"",$Y136,IF($U136&lt;&gt;"",$U136,IF($T136&lt;&gt;"",$T136,$R136))))))</x:f>
      </x:c>
      <x:c r="AC136" s="91"/>
      <x:c r="AD136" s="91"/>
      <x:c r="AE136" s="91"/>
      <x:c r="AF136" s="90" t="str">
        <x:f>IF(AND(AC136="",AD136="",AE136=""),"",SUM(AC136:AE136))</x:f>
      </x:c>
      <x:c r="AG136" s="94"/>
      <x:c r="AH136" s="91" t="str">
        <x:f>IF(Y136="","",Y136-IF(AF136="",0,AF136))</x:f>
      </x:c>
      <x:c r="AI136" s="87"/>
      <x:c r="AJ136" s="87"/>
      <x:c r="AK136" s="87"/>
      <x:c r="AL136" s="87"/>
      <x:c r="AM136" s="87"/>
      <x:c r="AN136" s="85"/>
      <x:c r="AO136" s="85"/>
      <x:c r="AP136" s="85"/>
      <x:c r="AQ136" s="86" t="str">
        <x:f>IF(A136="","",IF(COUNTIF($A$7:$A$156,A136)&gt;1,"ID 중복",IF(F136="","예산 매핑 필요",IF(OR(E136="예산코드 오류",G136="예산코드 오류"),"예산코드 오류",IF(AND(Y136&lt;&gt;"",Z136=""),"구매일 필요",IF(AND(AF136&lt;&gt;"",AG136=""),"지급일 필요",IF(AND(AF136&lt;&gt;"",AN136=""),"증빙ID 필요",IF(OR(Y136&lt;0,AF136&lt;0),"금액 오류",IF(AND(Y136&lt;&gt;"",R136&lt;&gt;"",Y136&gt;R136),"계획 초과","정상")))))))))</x:f>
      </x:c>
    </x:row>
    <x:row r="137" ht="24" customHeight="1">
      <x:c r="A137" s="85"/>
      <x:c r="B137" s="85"/>
      <x:c r="C137" s="85"/>
      <x:c r="D137" s="85"/>
      <x:c r="E137" s="86" t="str">
        <x:f>IF(F137="","",IFERROR(VLOOKUP(F137,'02_승인예산'!$A$7:$S$66,2,FALSE),"예산코드 오류"))</x:f>
      </x:c>
      <x:c r="F137" s="85"/>
      <x:c r="G137" s="86" t="str">
        <x:f>IF(F137="","",IFERROR(VLOOKUP(F137,'02_승인예산'!$A$7:$S$66,4,FALSE),"예산코드 오류"))</x:f>
      </x:c>
      <x:c r="H137" s="85"/>
      <x:c r="I137" s="85"/>
      <x:c r="J137" s="85"/>
      <x:c r="K137" s="85"/>
      <x:c r="L137" s="85"/>
      <x:c r="M137" s="95"/>
      <x:c r="N137" s="92"/>
      <x:c r="O137" s="88"/>
      <x:c r="P137" s="85"/>
      <x:c r="Q137" s="89"/>
      <x:c r="R137" s="90" t="str">
        <x:f>IF(OR(O137="",Q137=""),"",O137*Q137*IF(S137="별도",1.1,1))</x:f>
      </x:c>
      <x:c r="S137" s="85"/>
      <x:c r="T137" s="89"/>
      <x:c r="U137" s="89"/>
      <x:c r="V137" s="92"/>
      <x:c r="W137" s="88"/>
      <x:c r="X137" s="89"/>
      <x:c r="Y137" s="90" t="str">
        <x:f>IF(OR(W137="",X137=""),"",W137*X137*IF(S137="별도",1.1,1))</x:f>
      </x:c>
      <x:c r="Z137" s="93"/>
      <x:c r="AA137" s="90" t="str">
        <x:f>IF(OR(R137="",Y137=""),"",R137-Y137)</x:f>
      </x:c>
      <x:c r="AB137" s="90" t="str">
        <x:f>IF($A137="","",IF($B137="취소",0,IF($C137="제외",0,IF($Y137&lt;&gt;"",$Y137,IF($U137&lt;&gt;"",$U137,IF($T137&lt;&gt;"",$T137,$R137))))))</x:f>
      </x:c>
      <x:c r="AC137" s="91"/>
      <x:c r="AD137" s="91"/>
      <x:c r="AE137" s="91"/>
      <x:c r="AF137" s="90" t="str">
        <x:f>IF(AND(AC137="",AD137="",AE137=""),"",SUM(AC137:AE137))</x:f>
      </x:c>
      <x:c r="AG137" s="94"/>
      <x:c r="AH137" s="91" t="str">
        <x:f>IF(Y137="","",Y137-IF(AF137="",0,AF137))</x:f>
      </x:c>
      <x:c r="AI137" s="87"/>
      <x:c r="AJ137" s="87"/>
      <x:c r="AK137" s="87"/>
      <x:c r="AL137" s="87"/>
      <x:c r="AM137" s="87"/>
      <x:c r="AN137" s="85"/>
      <x:c r="AO137" s="85"/>
      <x:c r="AP137" s="85"/>
      <x:c r="AQ137" s="86" t="str">
        <x:f>IF(A137="","",IF(COUNTIF($A$7:$A$156,A137)&gt;1,"ID 중복",IF(F137="","예산 매핑 필요",IF(OR(E137="예산코드 오류",G137="예산코드 오류"),"예산코드 오류",IF(AND(Y137&lt;&gt;"",Z137=""),"구매일 필요",IF(AND(AF137&lt;&gt;"",AG137=""),"지급일 필요",IF(AND(AF137&lt;&gt;"",AN137=""),"증빙ID 필요",IF(OR(Y137&lt;0,AF137&lt;0),"금액 오류",IF(AND(Y137&lt;&gt;"",R137&lt;&gt;"",Y137&gt;R137),"계획 초과","정상")))))))))</x:f>
      </x:c>
    </x:row>
    <x:row r="138" ht="24" customHeight="1">
      <x:c r="A138" s="85"/>
      <x:c r="B138" s="85"/>
      <x:c r="C138" s="85"/>
      <x:c r="D138" s="85"/>
      <x:c r="E138" s="86" t="str">
        <x:f>IF(F138="","",IFERROR(VLOOKUP(F138,'02_승인예산'!$A$7:$S$66,2,FALSE),"예산코드 오류"))</x:f>
      </x:c>
      <x:c r="F138" s="85"/>
      <x:c r="G138" s="86" t="str">
        <x:f>IF(F138="","",IFERROR(VLOOKUP(F138,'02_승인예산'!$A$7:$S$66,4,FALSE),"예산코드 오류"))</x:f>
      </x:c>
      <x:c r="H138" s="85"/>
      <x:c r="I138" s="85"/>
      <x:c r="J138" s="85"/>
      <x:c r="K138" s="85"/>
      <x:c r="L138" s="85"/>
      <x:c r="M138" s="95"/>
      <x:c r="N138" s="92"/>
      <x:c r="O138" s="88"/>
      <x:c r="P138" s="85"/>
      <x:c r="Q138" s="89"/>
      <x:c r="R138" s="90" t="str">
        <x:f>IF(OR(O138="",Q138=""),"",O138*Q138*IF(S138="별도",1.1,1))</x:f>
      </x:c>
      <x:c r="S138" s="85"/>
      <x:c r="T138" s="89"/>
      <x:c r="U138" s="89"/>
      <x:c r="V138" s="92"/>
      <x:c r="W138" s="88"/>
      <x:c r="X138" s="89"/>
      <x:c r="Y138" s="90" t="str">
        <x:f>IF(OR(W138="",X138=""),"",W138*X138*IF(S138="별도",1.1,1))</x:f>
      </x:c>
      <x:c r="Z138" s="93"/>
      <x:c r="AA138" s="90" t="str">
        <x:f>IF(OR(R138="",Y138=""),"",R138-Y138)</x:f>
      </x:c>
      <x:c r="AB138" s="90" t="str">
        <x:f>IF($A138="","",IF($B138="취소",0,IF($C138="제외",0,IF($Y138&lt;&gt;"",$Y138,IF($U138&lt;&gt;"",$U138,IF($T138&lt;&gt;"",$T138,$R138))))))</x:f>
      </x:c>
      <x:c r="AC138" s="91"/>
      <x:c r="AD138" s="91"/>
      <x:c r="AE138" s="91"/>
      <x:c r="AF138" s="90" t="str">
        <x:f>IF(AND(AC138="",AD138="",AE138=""),"",SUM(AC138:AE138))</x:f>
      </x:c>
      <x:c r="AG138" s="94"/>
      <x:c r="AH138" s="91" t="str">
        <x:f>IF(Y138="","",Y138-IF(AF138="",0,AF138))</x:f>
      </x:c>
      <x:c r="AI138" s="87"/>
      <x:c r="AJ138" s="87"/>
      <x:c r="AK138" s="87"/>
      <x:c r="AL138" s="87"/>
      <x:c r="AM138" s="87"/>
      <x:c r="AN138" s="85"/>
      <x:c r="AO138" s="85"/>
      <x:c r="AP138" s="85"/>
      <x:c r="AQ138" s="86" t="str">
        <x:f>IF(A138="","",IF(COUNTIF($A$7:$A$156,A138)&gt;1,"ID 중복",IF(F138="","예산 매핑 필요",IF(OR(E138="예산코드 오류",G138="예산코드 오류"),"예산코드 오류",IF(AND(Y138&lt;&gt;"",Z138=""),"구매일 필요",IF(AND(AF138&lt;&gt;"",AG138=""),"지급일 필요",IF(AND(AF138&lt;&gt;"",AN138=""),"증빙ID 필요",IF(OR(Y138&lt;0,AF138&lt;0),"금액 오류",IF(AND(Y138&lt;&gt;"",R138&lt;&gt;"",Y138&gt;R138),"계획 초과","정상")))))))))</x:f>
      </x:c>
    </x:row>
    <x:row r="139" ht="24" customHeight="1">
      <x:c r="A139" s="85"/>
      <x:c r="B139" s="85"/>
      <x:c r="C139" s="85"/>
      <x:c r="D139" s="85"/>
      <x:c r="E139" s="86" t="str">
        <x:f>IF(F139="","",IFERROR(VLOOKUP(F139,'02_승인예산'!$A$7:$S$66,2,FALSE),"예산코드 오류"))</x:f>
      </x:c>
      <x:c r="F139" s="85"/>
      <x:c r="G139" s="86" t="str">
        <x:f>IF(F139="","",IFERROR(VLOOKUP(F139,'02_승인예산'!$A$7:$S$66,4,FALSE),"예산코드 오류"))</x:f>
      </x:c>
      <x:c r="H139" s="85"/>
      <x:c r="I139" s="85"/>
      <x:c r="J139" s="85"/>
      <x:c r="K139" s="85"/>
      <x:c r="L139" s="85"/>
      <x:c r="M139" s="95"/>
      <x:c r="N139" s="92"/>
      <x:c r="O139" s="88"/>
      <x:c r="P139" s="85"/>
      <x:c r="Q139" s="89"/>
      <x:c r="R139" s="90" t="str">
        <x:f>IF(OR(O139="",Q139=""),"",O139*Q139*IF(S139="별도",1.1,1))</x:f>
      </x:c>
      <x:c r="S139" s="85"/>
      <x:c r="T139" s="89"/>
      <x:c r="U139" s="89"/>
      <x:c r="V139" s="92"/>
      <x:c r="W139" s="88"/>
      <x:c r="X139" s="89"/>
      <x:c r="Y139" s="90" t="str">
        <x:f>IF(OR(W139="",X139=""),"",W139*X139*IF(S139="별도",1.1,1))</x:f>
      </x:c>
      <x:c r="Z139" s="93"/>
      <x:c r="AA139" s="90" t="str">
        <x:f>IF(OR(R139="",Y139=""),"",R139-Y139)</x:f>
      </x:c>
      <x:c r="AB139" s="90" t="str">
        <x:f>IF($A139="","",IF($B139="취소",0,IF($C139="제외",0,IF($Y139&lt;&gt;"",$Y139,IF($U139&lt;&gt;"",$U139,IF($T139&lt;&gt;"",$T139,$R139))))))</x:f>
      </x:c>
      <x:c r="AC139" s="91"/>
      <x:c r="AD139" s="91"/>
      <x:c r="AE139" s="91"/>
      <x:c r="AF139" s="90" t="str">
        <x:f>IF(AND(AC139="",AD139="",AE139=""),"",SUM(AC139:AE139))</x:f>
      </x:c>
      <x:c r="AG139" s="94"/>
      <x:c r="AH139" s="91" t="str">
        <x:f>IF(Y139="","",Y139-IF(AF139="",0,AF139))</x:f>
      </x:c>
      <x:c r="AI139" s="87"/>
      <x:c r="AJ139" s="87"/>
      <x:c r="AK139" s="87"/>
      <x:c r="AL139" s="87"/>
      <x:c r="AM139" s="87"/>
      <x:c r="AN139" s="85"/>
      <x:c r="AO139" s="85"/>
      <x:c r="AP139" s="85"/>
      <x:c r="AQ139" s="86" t="str">
        <x:f>IF(A139="","",IF(COUNTIF($A$7:$A$156,A139)&gt;1,"ID 중복",IF(F139="","예산 매핑 필요",IF(OR(E139="예산코드 오류",G139="예산코드 오류"),"예산코드 오류",IF(AND(Y139&lt;&gt;"",Z139=""),"구매일 필요",IF(AND(AF139&lt;&gt;"",AG139=""),"지급일 필요",IF(AND(AF139&lt;&gt;"",AN139=""),"증빙ID 필요",IF(OR(Y139&lt;0,AF139&lt;0),"금액 오류",IF(AND(Y139&lt;&gt;"",R139&lt;&gt;"",Y139&gt;R139),"계획 초과","정상")))))))))</x:f>
      </x:c>
    </x:row>
    <x:row r="140" ht="24" customHeight="1">
      <x:c r="A140" s="85"/>
      <x:c r="B140" s="85"/>
      <x:c r="C140" s="85"/>
      <x:c r="D140" s="85"/>
      <x:c r="E140" s="86" t="str">
        <x:f>IF(F140="","",IFERROR(VLOOKUP(F140,'02_승인예산'!$A$7:$S$66,2,FALSE),"예산코드 오류"))</x:f>
      </x:c>
      <x:c r="F140" s="85"/>
      <x:c r="G140" s="86" t="str">
        <x:f>IF(F140="","",IFERROR(VLOOKUP(F140,'02_승인예산'!$A$7:$S$66,4,FALSE),"예산코드 오류"))</x:f>
      </x:c>
      <x:c r="H140" s="85"/>
      <x:c r="I140" s="85"/>
      <x:c r="J140" s="85"/>
      <x:c r="K140" s="85"/>
      <x:c r="L140" s="85"/>
      <x:c r="M140" s="95"/>
      <x:c r="N140" s="92"/>
      <x:c r="O140" s="88"/>
      <x:c r="P140" s="85"/>
      <x:c r="Q140" s="89"/>
      <x:c r="R140" s="90" t="str">
        <x:f>IF(OR(O140="",Q140=""),"",O140*Q140*IF(S140="별도",1.1,1))</x:f>
      </x:c>
      <x:c r="S140" s="85"/>
      <x:c r="T140" s="89"/>
      <x:c r="U140" s="89"/>
      <x:c r="V140" s="92"/>
      <x:c r="W140" s="88"/>
      <x:c r="X140" s="89"/>
      <x:c r="Y140" s="90" t="str">
        <x:f>IF(OR(W140="",X140=""),"",W140*X140*IF(S140="별도",1.1,1))</x:f>
      </x:c>
      <x:c r="Z140" s="93"/>
      <x:c r="AA140" s="90" t="str">
        <x:f>IF(OR(R140="",Y140=""),"",R140-Y140)</x:f>
      </x:c>
      <x:c r="AB140" s="90" t="str">
        <x:f>IF($A140="","",IF($B140="취소",0,IF($C140="제외",0,IF($Y140&lt;&gt;"",$Y140,IF($U140&lt;&gt;"",$U140,IF($T140&lt;&gt;"",$T140,$R140))))))</x:f>
      </x:c>
      <x:c r="AC140" s="91"/>
      <x:c r="AD140" s="91"/>
      <x:c r="AE140" s="91"/>
      <x:c r="AF140" s="90" t="str">
        <x:f>IF(AND(AC140="",AD140="",AE140=""),"",SUM(AC140:AE140))</x:f>
      </x:c>
      <x:c r="AG140" s="94"/>
      <x:c r="AH140" s="91" t="str">
        <x:f>IF(Y140="","",Y140-IF(AF140="",0,AF140))</x:f>
      </x:c>
      <x:c r="AI140" s="87"/>
      <x:c r="AJ140" s="87"/>
      <x:c r="AK140" s="87"/>
      <x:c r="AL140" s="87"/>
      <x:c r="AM140" s="87"/>
      <x:c r="AN140" s="85"/>
      <x:c r="AO140" s="85"/>
      <x:c r="AP140" s="85"/>
      <x:c r="AQ140" s="86" t="str">
        <x:f>IF(A140="","",IF(COUNTIF($A$7:$A$156,A140)&gt;1,"ID 중복",IF(F140="","예산 매핑 필요",IF(OR(E140="예산코드 오류",G140="예산코드 오류"),"예산코드 오류",IF(AND(Y140&lt;&gt;"",Z140=""),"구매일 필요",IF(AND(AF140&lt;&gt;"",AG140=""),"지급일 필요",IF(AND(AF140&lt;&gt;"",AN140=""),"증빙ID 필요",IF(OR(Y140&lt;0,AF140&lt;0),"금액 오류",IF(AND(Y140&lt;&gt;"",R140&lt;&gt;"",Y140&gt;R140),"계획 초과","정상")))))))))</x:f>
      </x:c>
    </x:row>
    <x:row r="141" ht="24" customHeight="1">
      <x:c r="A141" s="85"/>
      <x:c r="B141" s="85"/>
      <x:c r="C141" s="85"/>
      <x:c r="D141" s="85"/>
      <x:c r="E141" s="86" t="str">
        <x:f>IF(F141="","",IFERROR(VLOOKUP(F141,'02_승인예산'!$A$7:$S$66,2,FALSE),"예산코드 오류"))</x:f>
      </x:c>
      <x:c r="F141" s="85"/>
      <x:c r="G141" s="86" t="str">
        <x:f>IF(F141="","",IFERROR(VLOOKUP(F141,'02_승인예산'!$A$7:$S$66,4,FALSE),"예산코드 오류"))</x:f>
      </x:c>
      <x:c r="H141" s="85"/>
      <x:c r="I141" s="85"/>
      <x:c r="J141" s="85"/>
      <x:c r="K141" s="85"/>
      <x:c r="L141" s="85"/>
      <x:c r="M141" s="95"/>
      <x:c r="N141" s="92"/>
      <x:c r="O141" s="88"/>
      <x:c r="P141" s="85"/>
      <x:c r="Q141" s="89"/>
      <x:c r="R141" s="90" t="str">
        <x:f>IF(OR(O141="",Q141=""),"",O141*Q141*IF(S141="별도",1.1,1))</x:f>
      </x:c>
      <x:c r="S141" s="85"/>
      <x:c r="T141" s="89"/>
      <x:c r="U141" s="89"/>
      <x:c r="V141" s="92"/>
      <x:c r="W141" s="88"/>
      <x:c r="X141" s="89"/>
      <x:c r="Y141" s="90" t="str">
        <x:f>IF(OR(W141="",X141=""),"",W141*X141*IF(S141="별도",1.1,1))</x:f>
      </x:c>
      <x:c r="Z141" s="93"/>
      <x:c r="AA141" s="90" t="str">
        <x:f>IF(OR(R141="",Y141=""),"",R141-Y141)</x:f>
      </x:c>
      <x:c r="AB141" s="90" t="str">
        <x:f>IF($A141="","",IF($B141="취소",0,IF($C141="제외",0,IF($Y141&lt;&gt;"",$Y141,IF($U141&lt;&gt;"",$U141,IF($T141&lt;&gt;"",$T141,$R141))))))</x:f>
      </x:c>
      <x:c r="AC141" s="91"/>
      <x:c r="AD141" s="91"/>
      <x:c r="AE141" s="91"/>
      <x:c r="AF141" s="90" t="str">
        <x:f>IF(AND(AC141="",AD141="",AE141=""),"",SUM(AC141:AE141))</x:f>
      </x:c>
      <x:c r="AG141" s="94"/>
      <x:c r="AH141" s="91" t="str">
        <x:f>IF(Y141="","",Y141-IF(AF141="",0,AF141))</x:f>
      </x:c>
      <x:c r="AI141" s="87"/>
      <x:c r="AJ141" s="87"/>
      <x:c r="AK141" s="87"/>
      <x:c r="AL141" s="87"/>
      <x:c r="AM141" s="87"/>
      <x:c r="AN141" s="85"/>
      <x:c r="AO141" s="85"/>
      <x:c r="AP141" s="85"/>
      <x:c r="AQ141" s="86" t="str">
        <x:f>IF(A141="","",IF(COUNTIF($A$7:$A$156,A141)&gt;1,"ID 중복",IF(F141="","예산 매핑 필요",IF(OR(E141="예산코드 오류",G141="예산코드 오류"),"예산코드 오류",IF(AND(Y141&lt;&gt;"",Z141=""),"구매일 필요",IF(AND(AF141&lt;&gt;"",AG141=""),"지급일 필요",IF(AND(AF141&lt;&gt;"",AN141=""),"증빙ID 필요",IF(OR(Y141&lt;0,AF141&lt;0),"금액 오류",IF(AND(Y141&lt;&gt;"",R141&lt;&gt;"",Y141&gt;R141),"계획 초과","정상")))))))))</x:f>
      </x:c>
    </x:row>
    <x:row r="142" ht="24" customHeight="1">
      <x:c r="A142" s="85"/>
      <x:c r="B142" s="85"/>
      <x:c r="C142" s="85"/>
      <x:c r="D142" s="85"/>
      <x:c r="E142" s="86" t="str">
        <x:f>IF(F142="","",IFERROR(VLOOKUP(F142,'02_승인예산'!$A$7:$S$66,2,FALSE),"예산코드 오류"))</x:f>
      </x:c>
      <x:c r="F142" s="85"/>
      <x:c r="G142" s="86" t="str">
        <x:f>IF(F142="","",IFERROR(VLOOKUP(F142,'02_승인예산'!$A$7:$S$66,4,FALSE),"예산코드 오류"))</x:f>
      </x:c>
      <x:c r="H142" s="85"/>
      <x:c r="I142" s="85"/>
      <x:c r="J142" s="85"/>
      <x:c r="K142" s="85"/>
      <x:c r="L142" s="85"/>
      <x:c r="M142" s="95"/>
      <x:c r="N142" s="92"/>
      <x:c r="O142" s="88"/>
      <x:c r="P142" s="85"/>
      <x:c r="Q142" s="89"/>
      <x:c r="R142" s="90" t="str">
        <x:f>IF(OR(O142="",Q142=""),"",O142*Q142*IF(S142="별도",1.1,1))</x:f>
      </x:c>
      <x:c r="S142" s="85"/>
      <x:c r="T142" s="89"/>
      <x:c r="U142" s="89"/>
      <x:c r="V142" s="92"/>
      <x:c r="W142" s="88"/>
      <x:c r="X142" s="89"/>
      <x:c r="Y142" s="90" t="str">
        <x:f>IF(OR(W142="",X142=""),"",W142*X142*IF(S142="별도",1.1,1))</x:f>
      </x:c>
      <x:c r="Z142" s="93"/>
      <x:c r="AA142" s="90" t="str">
        <x:f>IF(OR(R142="",Y142=""),"",R142-Y142)</x:f>
      </x:c>
      <x:c r="AB142" s="90" t="str">
        <x:f>IF($A142="","",IF($B142="취소",0,IF($C142="제외",0,IF($Y142&lt;&gt;"",$Y142,IF($U142&lt;&gt;"",$U142,IF($T142&lt;&gt;"",$T142,$R142))))))</x:f>
      </x:c>
      <x:c r="AC142" s="91"/>
      <x:c r="AD142" s="91"/>
      <x:c r="AE142" s="91"/>
      <x:c r="AF142" s="90" t="str">
        <x:f>IF(AND(AC142="",AD142="",AE142=""),"",SUM(AC142:AE142))</x:f>
      </x:c>
      <x:c r="AG142" s="94"/>
      <x:c r="AH142" s="91" t="str">
        <x:f>IF(Y142="","",Y142-IF(AF142="",0,AF142))</x:f>
      </x:c>
      <x:c r="AI142" s="87"/>
      <x:c r="AJ142" s="87"/>
      <x:c r="AK142" s="87"/>
      <x:c r="AL142" s="87"/>
      <x:c r="AM142" s="87"/>
      <x:c r="AN142" s="85"/>
      <x:c r="AO142" s="85"/>
      <x:c r="AP142" s="85"/>
      <x:c r="AQ142" s="86" t="str">
        <x:f>IF(A142="","",IF(COUNTIF($A$7:$A$156,A142)&gt;1,"ID 중복",IF(F142="","예산 매핑 필요",IF(OR(E142="예산코드 오류",G142="예산코드 오류"),"예산코드 오류",IF(AND(Y142&lt;&gt;"",Z142=""),"구매일 필요",IF(AND(AF142&lt;&gt;"",AG142=""),"지급일 필요",IF(AND(AF142&lt;&gt;"",AN142=""),"증빙ID 필요",IF(OR(Y142&lt;0,AF142&lt;0),"금액 오류",IF(AND(Y142&lt;&gt;"",R142&lt;&gt;"",Y142&gt;R142),"계획 초과","정상")))))))))</x:f>
      </x:c>
    </x:row>
    <x:row r="143" ht="24" customHeight="1">
      <x:c r="A143" s="85"/>
      <x:c r="B143" s="85"/>
      <x:c r="C143" s="85"/>
      <x:c r="D143" s="85"/>
      <x:c r="E143" s="86" t="str">
        <x:f>IF(F143="","",IFERROR(VLOOKUP(F143,'02_승인예산'!$A$7:$S$66,2,FALSE),"예산코드 오류"))</x:f>
      </x:c>
      <x:c r="F143" s="85"/>
      <x:c r="G143" s="86" t="str">
        <x:f>IF(F143="","",IFERROR(VLOOKUP(F143,'02_승인예산'!$A$7:$S$66,4,FALSE),"예산코드 오류"))</x:f>
      </x:c>
      <x:c r="H143" s="85"/>
      <x:c r="I143" s="85"/>
      <x:c r="J143" s="85"/>
      <x:c r="K143" s="85"/>
      <x:c r="L143" s="85"/>
      <x:c r="M143" s="95"/>
      <x:c r="N143" s="92"/>
      <x:c r="O143" s="88"/>
      <x:c r="P143" s="85"/>
      <x:c r="Q143" s="89"/>
      <x:c r="R143" s="90" t="str">
        <x:f>IF(OR(O143="",Q143=""),"",O143*Q143*IF(S143="별도",1.1,1))</x:f>
      </x:c>
      <x:c r="S143" s="85"/>
      <x:c r="T143" s="89"/>
      <x:c r="U143" s="89"/>
      <x:c r="V143" s="92"/>
      <x:c r="W143" s="88"/>
      <x:c r="X143" s="89"/>
      <x:c r="Y143" s="90" t="str">
        <x:f>IF(OR(W143="",X143=""),"",W143*X143*IF(S143="별도",1.1,1))</x:f>
      </x:c>
      <x:c r="Z143" s="93"/>
      <x:c r="AA143" s="90" t="str">
        <x:f>IF(OR(R143="",Y143=""),"",R143-Y143)</x:f>
      </x:c>
      <x:c r="AB143" s="90" t="str">
        <x:f>IF($A143="","",IF($B143="취소",0,IF($C143="제외",0,IF($Y143&lt;&gt;"",$Y143,IF($U143&lt;&gt;"",$U143,IF($T143&lt;&gt;"",$T143,$R143))))))</x:f>
      </x:c>
      <x:c r="AC143" s="91"/>
      <x:c r="AD143" s="91"/>
      <x:c r="AE143" s="91"/>
      <x:c r="AF143" s="90" t="str">
        <x:f>IF(AND(AC143="",AD143="",AE143=""),"",SUM(AC143:AE143))</x:f>
      </x:c>
      <x:c r="AG143" s="94"/>
      <x:c r="AH143" s="91" t="str">
        <x:f>IF(Y143="","",Y143-IF(AF143="",0,AF143))</x:f>
      </x:c>
      <x:c r="AI143" s="87"/>
      <x:c r="AJ143" s="87"/>
      <x:c r="AK143" s="87"/>
      <x:c r="AL143" s="87"/>
      <x:c r="AM143" s="87"/>
      <x:c r="AN143" s="85"/>
      <x:c r="AO143" s="85"/>
      <x:c r="AP143" s="85"/>
      <x:c r="AQ143" s="86" t="str">
        <x:f>IF(A143="","",IF(COUNTIF($A$7:$A$156,A143)&gt;1,"ID 중복",IF(F143="","예산 매핑 필요",IF(OR(E143="예산코드 오류",G143="예산코드 오류"),"예산코드 오류",IF(AND(Y143&lt;&gt;"",Z143=""),"구매일 필요",IF(AND(AF143&lt;&gt;"",AG143=""),"지급일 필요",IF(AND(AF143&lt;&gt;"",AN143=""),"증빙ID 필요",IF(OR(Y143&lt;0,AF143&lt;0),"금액 오류",IF(AND(Y143&lt;&gt;"",R143&lt;&gt;"",Y143&gt;R143),"계획 초과","정상")))))))))</x:f>
      </x:c>
    </x:row>
    <x:row r="144" ht="24" customHeight="1">
      <x:c r="A144" s="85"/>
      <x:c r="B144" s="85"/>
      <x:c r="C144" s="85"/>
      <x:c r="D144" s="85"/>
      <x:c r="E144" s="86" t="str">
        <x:f>IF(F144="","",IFERROR(VLOOKUP(F144,'02_승인예산'!$A$7:$S$66,2,FALSE),"예산코드 오류"))</x:f>
      </x:c>
      <x:c r="F144" s="85"/>
      <x:c r="G144" s="86" t="str">
        <x:f>IF(F144="","",IFERROR(VLOOKUP(F144,'02_승인예산'!$A$7:$S$66,4,FALSE),"예산코드 오류"))</x:f>
      </x:c>
      <x:c r="H144" s="85"/>
      <x:c r="I144" s="85"/>
      <x:c r="J144" s="85"/>
      <x:c r="K144" s="85"/>
      <x:c r="L144" s="85"/>
      <x:c r="M144" s="95"/>
      <x:c r="N144" s="92"/>
      <x:c r="O144" s="88"/>
      <x:c r="P144" s="85"/>
      <x:c r="Q144" s="89"/>
      <x:c r="R144" s="90" t="str">
        <x:f>IF(OR(O144="",Q144=""),"",O144*Q144*IF(S144="별도",1.1,1))</x:f>
      </x:c>
      <x:c r="S144" s="85"/>
      <x:c r="T144" s="89"/>
      <x:c r="U144" s="89"/>
      <x:c r="V144" s="92"/>
      <x:c r="W144" s="88"/>
      <x:c r="X144" s="89"/>
      <x:c r="Y144" s="90" t="str">
        <x:f>IF(OR(W144="",X144=""),"",W144*X144*IF(S144="별도",1.1,1))</x:f>
      </x:c>
      <x:c r="Z144" s="93"/>
      <x:c r="AA144" s="90" t="str">
        <x:f>IF(OR(R144="",Y144=""),"",R144-Y144)</x:f>
      </x:c>
      <x:c r="AB144" s="90" t="str">
        <x:f>IF($A144="","",IF($B144="취소",0,IF($C144="제외",0,IF($Y144&lt;&gt;"",$Y144,IF($U144&lt;&gt;"",$U144,IF($T144&lt;&gt;"",$T144,$R144))))))</x:f>
      </x:c>
      <x:c r="AC144" s="91"/>
      <x:c r="AD144" s="91"/>
      <x:c r="AE144" s="91"/>
      <x:c r="AF144" s="90" t="str">
        <x:f>IF(AND(AC144="",AD144="",AE144=""),"",SUM(AC144:AE144))</x:f>
      </x:c>
      <x:c r="AG144" s="94"/>
      <x:c r="AH144" s="91" t="str">
        <x:f>IF(Y144="","",Y144-IF(AF144="",0,AF144))</x:f>
      </x:c>
      <x:c r="AI144" s="87"/>
      <x:c r="AJ144" s="87"/>
      <x:c r="AK144" s="87"/>
      <x:c r="AL144" s="87"/>
      <x:c r="AM144" s="87"/>
      <x:c r="AN144" s="85"/>
      <x:c r="AO144" s="85"/>
      <x:c r="AP144" s="85"/>
      <x:c r="AQ144" s="86" t="str">
        <x:f>IF(A144="","",IF(COUNTIF($A$7:$A$156,A144)&gt;1,"ID 중복",IF(F144="","예산 매핑 필요",IF(OR(E144="예산코드 오류",G144="예산코드 오류"),"예산코드 오류",IF(AND(Y144&lt;&gt;"",Z144=""),"구매일 필요",IF(AND(AF144&lt;&gt;"",AG144=""),"지급일 필요",IF(AND(AF144&lt;&gt;"",AN144=""),"증빙ID 필요",IF(OR(Y144&lt;0,AF144&lt;0),"금액 오류",IF(AND(Y144&lt;&gt;"",R144&lt;&gt;"",Y144&gt;R144),"계획 초과","정상")))))))))</x:f>
      </x:c>
    </x:row>
    <x:row r="145" ht="24" customHeight="1">
      <x:c r="A145" s="85"/>
      <x:c r="B145" s="85"/>
      <x:c r="C145" s="85"/>
      <x:c r="D145" s="85"/>
      <x:c r="E145" s="86" t="str">
        <x:f>IF(F145="","",IFERROR(VLOOKUP(F145,'02_승인예산'!$A$7:$S$66,2,FALSE),"예산코드 오류"))</x:f>
      </x:c>
      <x:c r="F145" s="85"/>
      <x:c r="G145" s="86" t="str">
        <x:f>IF(F145="","",IFERROR(VLOOKUP(F145,'02_승인예산'!$A$7:$S$66,4,FALSE),"예산코드 오류"))</x:f>
      </x:c>
      <x:c r="H145" s="85"/>
      <x:c r="I145" s="85"/>
      <x:c r="J145" s="85"/>
      <x:c r="K145" s="85"/>
      <x:c r="L145" s="85"/>
      <x:c r="M145" s="95"/>
      <x:c r="N145" s="92"/>
      <x:c r="O145" s="88"/>
      <x:c r="P145" s="85"/>
      <x:c r="Q145" s="89"/>
      <x:c r="R145" s="90" t="str">
        <x:f>IF(OR(O145="",Q145=""),"",O145*Q145*IF(S145="별도",1.1,1))</x:f>
      </x:c>
      <x:c r="S145" s="85"/>
      <x:c r="T145" s="89"/>
      <x:c r="U145" s="89"/>
      <x:c r="V145" s="92"/>
      <x:c r="W145" s="88"/>
      <x:c r="X145" s="89"/>
      <x:c r="Y145" s="90" t="str">
        <x:f>IF(OR(W145="",X145=""),"",W145*X145*IF(S145="별도",1.1,1))</x:f>
      </x:c>
      <x:c r="Z145" s="93"/>
      <x:c r="AA145" s="90" t="str">
        <x:f>IF(OR(R145="",Y145=""),"",R145-Y145)</x:f>
      </x:c>
      <x:c r="AB145" s="90" t="str">
        <x:f>IF($A145="","",IF($B145="취소",0,IF($C145="제외",0,IF($Y145&lt;&gt;"",$Y145,IF($U145&lt;&gt;"",$U145,IF($T145&lt;&gt;"",$T145,$R145))))))</x:f>
      </x:c>
      <x:c r="AC145" s="91"/>
      <x:c r="AD145" s="91"/>
      <x:c r="AE145" s="91"/>
      <x:c r="AF145" s="90" t="str">
        <x:f>IF(AND(AC145="",AD145="",AE145=""),"",SUM(AC145:AE145))</x:f>
      </x:c>
      <x:c r="AG145" s="94"/>
      <x:c r="AH145" s="91" t="str">
        <x:f>IF(Y145="","",Y145-IF(AF145="",0,AF145))</x:f>
      </x:c>
      <x:c r="AI145" s="87"/>
      <x:c r="AJ145" s="87"/>
      <x:c r="AK145" s="87"/>
      <x:c r="AL145" s="87"/>
      <x:c r="AM145" s="87"/>
      <x:c r="AN145" s="85"/>
      <x:c r="AO145" s="85"/>
      <x:c r="AP145" s="85"/>
      <x:c r="AQ145" s="86" t="str">
        <x:f>IF(A145="","",IF(COUNTIF($A$7:$A$156,A145)&gt;1,"ID 중복",IF(F145="","예산 매핑 필요",IF(OR(E145="예산코드 오류",G145="예산코드 오류"),"예산코드 오류",IF(AND(Y145&lt;&gt;"",Z145=""),"구매일 필요",IF(AND(AF145&lt;&gt;"",AG145=""),"지급일 필요",IF(AND(AF145&lt;&gt;"",AN145=""),"증빙ID 필요",IF(OR(Y145&lt;0,AF145&lt;0),"금액 오류",IF(AND(Y145&lt;&gt;"",R145&lt;&gt;"",Y145&gt;R145),"계획 초과","정상")))))))))</x:f>
      </x:c>
    </x:row>
    <x:row r="146" ht="24" customHeight="1">
      <x:c r="A146" s="85"/>
      <x:c r="B146" s="85"/>
      <x:c r="C146" s="85"/>
      <x:c r="D146" s="85"/>
      <x:c r="E146" s="86" t="str">
        <x:f>IF(F146="","",IFERROR(VLOOKUP(F146,'02_승인예산'!$A$7:$S$66,2,FALSE),"예산코드 오류"))</x:f>
      </x:c>
      <x:c r="F146" s="85"/>
      <x:c r="G146" s="86" t="str">
        <x:f>IF(F146="","",IFERROR(VLOOKUP(F146,'02_승인예산'!$A$7:$S$66,4,FALSE),"예산코드 오류"))</x:f>
      </x:c>
      <x:c r="H146" s="85"/>
      <x:c r="I146" s="85"/>
      <x:c r="J146" s="85"/>
      <x:c r="K146" s="85"/>
      <x:c r="L146" s="85"/>
      <x:c r="M146" s="95"/>
      <x:c r="N146" s="92"/>
      <x:c r="O146" s="88"/>
      <x:c r="P146" s="85"/>
      <x:c r="Q146" s="89"/>
      <x:c r="R146" s="90" t="str">
        <x:f>IF(OR(O146="",Q146=""),"",O146*Q146*IF(S146="별도",1.1,1))</x:f>
      </x:c>
      <x:c r="S146" s="85"/>
      <x:c r="T146" s="89"/>
      <x:c r="U146" s="89"/>
      <x:c r="V146" s="92"/>
      <x:c r="W146" s="88"/>
      <x:c r="X146" s="89"/>
      <x:c r="Y146" s="90" t="str">
        <x:f>IF(OR(W146="",X146=""),"",W146*X146*IF(S146="별도",1.1,1))</x:f>
      </x:c>
      <x:c r="Z146" s="93"/>
      <x:c r="AA146" s="90" t="str">
        <x:f>IF(OR(R146="",Y146=""),"",R146-Y146)</x:f>
      </x:c>
      <x:c r="AB146" s="90" t="str">
        <x:f>IF($A146="","",IF($B146="취소",0,IF($C146="제외",0,IF($Y146&lt;&gt;"",$Y146,IF($U146&lt;&gt;"",$U146,IF($T146&lt;&gt;"",$T146,$R146))))))</x:f>
      </x:c>
      <x:c r="AC146" s="91"/>
      <x:c r="AD146" s="91"/>
      <x:c r="AE146" s="91"/>
      <x:c r="AF146" s="90" t="str">
        <x:f>IF(AND(AC146="",AD146="",AE146=""),"",SUM(AC146:AE146))</x:f>
      </x:c>
      <x:c r="AG146" s="94"/>
      <x:c r="AH146" s="91" t="str">
        <x:f>IF(Y146="","",Y146-IF(AF146="",0,AF146))</x:f>
      </x:c>
      <x:c r="AI146" s="87"/>
      <x:c r="AJ146" s="87"/>
      <x:c r="AK146" s="87"/>
      <x:c r="AL146" s="87"/>
      <x:c r="AM146" s="87"/>
      <x:c r="AN146" s="85"/>
      <x:c r="AO146" s="85"/>
      <x:c r="AP146" s="85"/>
      <x:c r="AQ146" s="86" t="str">
        <x:f>IF(A146="","",IF(COUNTIF($A$7:$A$156,A146)&gt;1,"ID 중복",IF(F146="","예산 매핑 필요",IF(OR(E146="예산코드 오류",G146="예산코드 오류"),"예산코드 오류",IF(AND(Y146&lt;&gt;"",Z146=""),"구매일 필요",IF(AND(AF146&lt;&gt;"",AG146=""),"지급일 필요",IF(AND(AF146&lt;&gt;"",AN146=""),"증빙ID 필요",IF(OR(Y146&lt;0,AF146&lt;0),"금액 오류",IF(AND(Y146&lt;&gt;"",R146&lt;&gt;"",Y146&gt;R146),"계획 초과","정상")))))))))</x:f>
      </x:c>
    </x:row>
    <x:row r="147" ht="24" customHeight="1">
      <x:c r="A147" s="85"/>
      <x:c r="B147" s="85"/>
      <x:c r="C147" s="85"/>
      <x:c r="D147" s="85"/>
      <x:c r="E147" s="86" t="str">
        <x:f>IF(F147="","",IFERROR(VLOOKUP(F147,'02_승인예산'!$A$7:$S$66,2,FALSE),"예산코드 오류"))</x:f>
      </x:c>
      <x:c r="F147" s="85"/>
      <x:c r="G147" s="86" t="str">
        <x:f>IF(F147="","",IFERROR(VLOOKUP(F147,'02_승인예산'!$A$7:$S$66,4,FALSE),"예산코드 오류"))</x:f>
      </x:c>
      <x:c r="H147" s="85"/>
      <x:c r="I147" s="85"/>
      <x:c r="J147" s="85"/>
      <x:c r="K147" s="85"/>
      <x:c r="L147" s="85"/>
      <x:c r="M147" s="95"/>
      <x:c r="N147" s="92"/>
      <x:c r="O147" s="88"/>
      <x:c r="P147" s="85"/>
      <x:c r="Q147" s="89"/>
      <x:c r="R147" s="90" t="str">
        <x:f>IF(OR(O147="",Q147=""),"",O147*Q147*IF(S147="별도",1.1,1))</x:f>
      </x:c>
      <x:c r="S147" s="85"/>
      <x:c r="T147" s="89"/>
      <x:c r="U147" s="89"/>
      <x:c r="V147" s="92"/>
      <x:c r="W147" s="88"/>
      <x:c r="X147" s="89"/>
      <x:c r="Y147" s="90" t="str">
        <x:f>IF(OR(W147="",X147=""),"",W147*X147*IF(S147="별도",1.1,1))</x:f>
      </x:c>
      <x:c r="Z147" s="93"/>
      <x:c r="AA147" s="90" t="str">
        <x:f>IF(OR(R147="",Y147=""),"",R147-Y147)</x:f>
      </x:c>
      <x:c r="AB147" s="90" t="str">
        <x:f>IF($A147="","",IF($B147="취소",0,IF($C147="제외",0,IF($Y147&lt;&gt;"",$Y147,IF($U147&lt;&gt;"",$U147,IF($T147&lt;&gt;"",$T147,$R147))))))</x:f>
      </x:c>
      <x:c r="AC147" s="91"/>
      <x:c r="AD147" s="91"/>
      <x:c r="AE147" s="91"/>
      <x:c r="AF147" s="90" t="str">
        <x:f>IF(AND(AC147="",AD147="",AE147=""),"",SUM(AC147:AE147))</x:f>
      </x:c>
      <x:c r="AG147" s="94"/>
      <x:c r="AH147" s="91" t="str">
        <x:f>IF(Y147="","",Y147-IF(AF147="",0,AF147))</x:f>
      </x:c>
      <x:c r="AI147" s="87"/>
      <x:c r="AJ147" s="87"/>
      <x:c r="AK147" s="87"/>
      <x:c r="AL147" s="87"/>
      <x:c r="AM147" s="87"/>
      <x:c r="AN147" s="85"/>
      <x:c r="AO147" s="85"/>
      <x:c r="AP147" s="85"/>
      <x:c r="AQ147" s="86" t="str">
        <x:f>IF(A147="","",IF(COUNTIF($A$7:$A$156,A147)&gt;1,"ID 중복",IF(F147="","예산 매핑 필요",IF(OR(E147="예산코드 오류",G147="예산코드 오류"),"예산코드 오류",IF(AND(Y147&lt;&gt;"",Z147=""),"구매일 필요",IF(AND(AF147&lt;&gt;"",AG147=""),"지급일 필요",IF(AND(AF147&lt;&gt;"",AN147=""),"증빙ID 필요",IF(OR(Y147&lt;0,AF147&lt;0),"금액 오류",IF(AND(Y147&lt;&gt;"",R147&lt;&gt;"",Y147&gt;R147),"계획 초과","정상")))))))))</x:f>
      </x:c>
    </x:row>
    <x:row r="148" ht="24" customHeight="1">
      <x:c r="A148" s="85"/>
      <x:c r="B148" s="85"/>
      <x:c r="C148" s="85"/>
      <x:c r="D148" s="85"/>
      <x:c r="E148" s="86" t="str">
        <x:f>IF(F148="","",IFERROR(VLOOKUP(F148,'02_승인예산'!$A$7:$S$66,2,FALSE),"예산코드 오류"))</x:f>
      </x:c>
      <x:c r="F148" s="85"/>
      <x:c r="G148" s="86" t="str">
        <x:f>IF(F148="","",IFERROR(VLOOKUP(F148,'02_승인예산'!$A$7:$S$66,4,FALSE),"예산코드 오류"))</x:f>
      </x:c>
      <x:c r="H148" s="85"/>
      <x:c r="I148" s="85"/>
      <x:c r="J148" s="85"/>
      <x:c r="K148" s="85"/>
      <x:c r="L148" s="85"/>
      <x:c r="M148" s="95"/>
      <x:c r="N148" s="92"/>
      <x:c r="O148" s="88"/>
      <x:c r="P148" s="85"/>
      <x:c r="Q148" s="89"/>
      <x:c r="R148" s="90" t="str">
        <x:f>IF(OR(O148="",Q148=""),"",O148*Q148*IF(S148="별도",1.1,1))</x:f>
      </x:c>
      <x:c r="S148" s="85"/>
      <x:c r="T148" s="89"/>
      <x:c r="U148" s="89"/>
      <x:c r="V148" s="92"/>
      <x:c r="W148" s="88"/>
      <x:c r="X148" s="89"/>
      <x:c r="Y148" s="90" t="str">
        <x:f>IF(OR(W148="",X148=""),"",W148*X148*IF(S148="별도",1.1,1))</x:f>
      </x:c>
      <x:c r="Z148" s="93"/>
      <x:c r="AA148" s="90" t="str">
        <x:f>IF(OR(R148="",Y148=""),"",R148-Y148)</x:f>
      </x:c>
      <x:c r="AB148" s="90" t="str">
        <x:f>IF($A148="","",IF($B148="취소",0,IF($C148="제외",0,IF($Y148&lt;&gt;"",$Y148,IF($U148&lt;&gt;"",$U148,IF($T148&lt;&gt;"",$T148,$R148))))))</x:f>
      </x:c>
      <x:c r="AC148" s="91"/>
      <x:c r="AD148" s="91"/>
      <x:c r="AE148" s="91"/>
      <x:c r="AF148" s="90" t="str">
        <x:f>IF(AND(AC148="",AD148="",AE148=""),"",SUM(AC148:AE148))</x:f>
      </x:c>
      <x:c r="AG148" s="94"/>
      <x:c r="AH148" s="91" t="str">
        <x:f>IF(Y148="","",Y148-IF(AF148="",0,AF148))</x:f>
      </x:c>
      <x:c r="AI148" s="87"/>
      <x:c r="AJ148" s="87"/>
      <x:c r="AK148" s="87"/>
      <x:c r="AL148" s="87"/>
      <x:c r="AM148" s="87"/>
      <x:c r="AN148" s="85"/>
      <x:c r="AO148" s="85"/>
      <x:c r="AP148" s="85"/>
      <x:c r="AQ148" s="86" t="str">
        <x:f>IF(A148="","",IF(COUNTIF($A$7:$A$156,A148)&gt;1,"ID 중복",IF(F148="","예산 매핑 필요",IF(OR(E148="예산코드 오류",G148="예산코드 오류"),"예산코드 오류",IF(AND(Y148&lt;&gt;"",Z148=""),"구매일 필요",IF(AND(AF148&lt;&gt;"",AG148=""),"지급일 필요",IF(AND(AF148&lt;&gt;"",AN148=""),"증빙ID 필요",IF(OR(Y148&lt;0,AF148&lt;0),"금액 오류",IF(AND(Y148&lt;&gt;"",R148&lt;&gt;"",Y148&gt;R148),"계획 초과","정상")))))))))</x:f>
      </x:c>
    </x:row>
    <x:row r="149" ht="24" customHeight="1">
      <x:c r="A149" s="85"/>
      <x:c r="B149" s="85"/>
      <x:c r="C149" s="85"/>
      <x:c r="D149" s="85"/>
      <x:c r="E149" s="86" t="str">
        <x:f>IF(F149="","",IFERROR(VLOOKUP(F149,'02_승인예산'!$A$7:$S$66,2,FALSE),"예산코드 오류"))</x:f>
      </x:c>
      <x:c r="F149" s="85"/>
      <x:c r="G149" s="86" t="str">
        <x:f>IF(F149="","",IFERROR(VLOOKUP(F149,'02_승인예산'!$A$7:$S$66,4,FALSE),"예산코드 오류"))</x:f>
      </x:c>
      <x:c r="H149" s="85"/>
      <x:c r="I149" s="85"/>
      <x:c r="J149" s="85"/>
      <x:c r="K149" s="85"/>
      <x:c r="L149" s="85"/>
      <x:c r="M149" s="95"/>
      <x:c r="N149" s="92"/>
      <x:c r="O149" s="88"/>
      <x:c r="P149" s="85"/>
      <x:c r="Q149" s="89"/>
      <x:c r="R149" s="90" t="str">
        <x:f>IF(OR(O149="",Q149=""),"",O149*Q149*IF(S149="별도",1.1,1))</x:f>
      </x:c>
      <x:c r="S149" s="85"/>
      <x:c r="T149" s="89"/>
      <x:c r="U149" s="89"/>
      <x:c r="V149" s="92"/>
      <x:c r="W149" s="88"/>
      <x:c r="X149" s="89"/>
      <x:c r="Y149" s="90" t="str">
        <x:f>IF(OR(W149="",X149=""),"",W149*X149*IF(S149="별도",1.1,1))</x:f>
      </x:c>
      <x:c r="Z149" s="93"/>
      <x:c r="AA149" s="90" t="str">
        <x:f>IF(OR(R149="",Y149=""),"",R149-Y149)</x:f>
      </x:c>
      <x:c r="AB149" s="90" t="str">
        <x:f>IF($A149="","",IF($B149="취소",0,IF($C149="제외",0,IF($Y149&lt;&gt;"",$Y149,IF($U149&lt;&gt;"",$U149,IF($T149&lt;&gt;"",$T149,$R149))))))</x:f>
      </x:c>
      <x:c r="AC149" s="91"/>
      <x:c r="AD149" s="91"/>
      <x:c r="AE149" s="91"/>
      <x:c r="AF149" s="90" t="str">
        <x:f>IF(AND(AC149="",AD149="",AE149=""),"",SUM(AC149:AE149))</x:f>
      </x:c>
      <x:c r="AG149" s="94"/>
      <x:c r="AH149" s="91" t="str">
        <x:f>IF(Y149="","",Y149-IF(AF149="",0,AF149))</x:f>
      </x:c>
      <x:c r="AI149" s="87"/>
      <x:c r="AJ149" s="87"/>
      <x:c r="AK149" s="87"/>
      <x:c r="AL149" s="87"/>
      <x:c r="AM149" s="87"/>
      <x:c r="AN149" s="85"/>
      <x:c r="AO149" s="85"/>
      <x:c r="AP149" s="85"/>
      <x:c r="AQ149" s="86" t="str">
        <x:f>IF(A149="","",IF(COUNTIF($A$7:$A$156,A149)&gt;1,"ID 중복",IF(F149="","예산 매핑 필요",IF(OR(E149="예산코드 오류",G149="예산코드 오류"),"예산코드 오류",IF(AND(Y149&lt;&gt;"",Z149=""),"구매일 필요",IF(AND(AF149&lt;&gt;"",AG149=""),"지급일 필요",IF(AND(AF149&lt;&gt;"",AN149=""),"증빙ID 필요",IF(OR(Y149&lt;0,AF149&lt;0),"금액 오류",IF(AND(Y149&lt;&gt;"",R149&lt;&gt;"",Y149&gt;R149),"계획 초과","정상")))))))))</x:f>
      </x:c>
    </x:row>
    <x:row r="150" ht="24" customHeight="1">
      <x:c r="A150" s="85"/>
      <x:c r="B150" s="85"/>
      <x:c r="C150" s="85"/>
      <x:c r="D150" s="85"/>
      <x:c r="E150" s="86" t="str">
        <x:f>IF(F150="","",IFERROR(VLOOKUP(F150,'02_승인예산'!$A$7:$S$66,2,FALSE),"예산코드 오류"))</x:f>
      </x:c>
      <x:c r="F150" s="85"/>
      <x:c r="G150" s="86" t="str">
        <x:f>IF(F150="","",IFERROR(VLOOKUP(F150,'02_승인예산'!$A$7:$S$66,4,FALSE),"예산코드 오류"))</x:f>
      </x:c>
      <x:c r="H150" s="85"/>
      <x:c r="I150" s="85"/>
      <x:c r="J150" s="85"/>
      <x:c r="K150" s="85"/>
      <x:c r="L150" s="85"/>
      <x:c r="M150" s="95"/>
      <x:c r="N150" s="92"/>
      <x:c r="O150" s="88"/>
      <x:c r="P150" s="85"/>
      <x:c r="Q150" s="89"/>
      <x:c r="R150" s="90" t="str">
        <x:f>IF(OR(O150="",Q150=""),"",O150*Q150*IF(S150="별도",1.1,1))</x:f>
      </x:c>
      <x:c r="S150" s="85"/>
      <x:c r="T150" s="89"/>
      <x:c r="U150" s="89"/>
      <x:c r="V150" s="92"/>
      <x:c r="W150" s="88"/>
      <x:c r="X150" s="89"/>
      <x:c r="Y150" s="90" t="str">
        <x:f>IF(OR(W150="",X150=""),"",W150*X150*IF(S150="별도",1.1,1))</x:f>
      </x:c>
      <x:c r="Z150" s="93"/>
      <x:c r="AA150" s="90" t="str">
        <x:f>IF(OR(R150="",Y150=""),"",R150-Y150)</x:f>
      </x:c>
      <x:c r="AB150" s="90" t="str">
        <x:f>IF($A150="","",IF($B150="취소",0,IF($C150="제외",0,IF($Y150&lt;&gt;"",$Y150,IF($U150&lt;&gt;"",$U150,IF($T150&lt;&gt;"",$T150,$R150))))))</x:f>
      </x:c>
      <x:c r="AC150" s="91"/>
      <x:c r="AD150" s="91"/>
      <x:c r="AE150" s="91"/>
      <x:c r="AF150" s="90" t="str">
        <x:f>IF(AND(AC150="",AD150="",AE150=""),"",SUM(AC150:AE150))</x:f>
      </x:c>
      <x:c r="AG150" s="94"/>
      <x:c r="AH150" s="91" t="str">
        <x:f>IF(Y150="","",Y150-IF(AF150="",0,AF150))</x:f>
      </x:c>
      <x:c r="AI150" s="87"/>
      <x:c r="AJ150" s="87"/>
      <x:c r="AK150" s="87"/>
      <x:c r="AL150" s="87"/>
      <x:c r="AM150" s="87"/>
      <x:c r="AN150" s="85"/>
      <x:c r="AO150" s="85"/>
      <x:c r="AP150" s="85"/>
      <x:c r="AQ150" s="86" t="str">
        <x:f>IF(A150="","",IF(COUNTIF($A$7:$A$156,A150)&gt;1,"ID 중복",IF(F150="","예산 매핑 필요",IF(OR(E150="예산코드 오류",G150="예산코드 오류"),"예산코드 오류",IF(AND(Y150&lt;&gt;"",Z150=""),"구매일 필요",IF(AND(AF150&lt;&gt;"",AG150=""),"지급일 필요",IF(AND(AF150&lt;&gt;"",AN150=""),"증빙ID 필요",IF(OR(Y150&lt;0,AF150&lt;0),"금액 오류",IF(AND(Y150&lt;&gt;"",R150&lt;&gt;"",Y150&gt;R150),"계획 초과","정상")))))))))</x:f>
      </x:c>
    </x:row>
    <x:row r="151" ht="24" customHeight="1">
      <x:c r="A151" s="85"/>
      <x:c r="B151" s="85"/>
      <x:c r="C151" s="85"/>
      <x:c r="D151" s="85"/>
      <x:c r="E151" s="86" t="str">
        <x:f>IF(F151="","",IFERROR(VLOOKUP(F151,'02_승인예산'!$A$7:$S$66,2,FALSE),"예산코드 오류"))</x:f>
      </x:c>
      <x:c r="F151" s="85"/>
      <x:c r="G151" s="86" t="str">
        <x:f>IF(F151="","",IFERROR(VLOOKUP(F151,'02_승인예산'!$A$7:$S$66,4,FALSE),"예산코드 오류"))</x:f>
      </x:c>
      <x:c r="H151" s="85"/>
      <x:c r="I151" s="85"/>
      <x:c r="J151" s="85"/>
      <x:c r="K151" s="85"/>
      <x:c r="L151" s="85"/>
      <x:c r="M151" s="95"/>
      <x:c r="N151" s="92"/>
      <x:c r="O151" s="88"/>
      <x:c r="P151" s="85"/>
      <x:c r="Q151" s="89"/>
      <x:c r="R151" s="90" t="str">
        <x:f>IF(OR(O151="",Q151=""),"",O151*Q151*IF(S151="별도",1.1,1))</x:f>
      </x:c>
      <x:c r="S151" s="85"/>
      <x:c r="T151" s="89"/>
      <x:c r="U151" s="89"/>
      <x:c r="V151" s="92"/>
      <x:c r="W151" s="88"/>
      <x:c r="X151" s="89"/>
      <x:c r="Y151" s="90" t="str">
        <x:f>IF(OR(W151="",X151=""),"",W151*X151*IF(S151="별도",1.1,1))</x:f>
      </x:c>
      <x:c r="Z151" s="93"/>
      <x:c r="AA151" s="90" t="str">
        <x:f>IF(OR(R151="",Y151=""),"",R151-Y151)</x:f>
      </x:c>
      <x:c r="AB151" s="90" t="str">
        <x:f>IF($A151="","",IF($B151="취소",0,IF($C151="제외",0,IF($Y151&lt;&gt;"",$Y151,IF($U151&lt;&gt;"",$U151,IF($T151&lt;&gt;"",$T151,$R151))))))</x:f>
      </x:c>
      <x:c r="AC151" s="91"/>
      <x:c r="AD151" s="91"/>
      <x:c r="AE151" s="91"/>
      <x:c r="AF151" s="90" t="str">
        <x:f>IF(AND(AC151="",AD151="",AE151=""),"",SUM(AC151:AE151))</x:f>
      </x:c>
      <x:c r="AG151" s="94"/>
      <x:c r="AH151" s="91" t="str">
        <x:f>IF(Y151="","",Y151-IF(AF151="",0,AF151))</x:f>
      </x:c>
      <x:c r="AI151" s="87"/>
      <x:c r="AJ151" s="87"/>
      <x:c r="AK151" s="87"/>
      <x:c r="AL151" s="87"/>
      <x:c r="AM151" s="87"/>
      <x:c r="AN151" s="85"/>
      <x:c r="AO151" s="85"/>
      <x:c r="AP151" s="85"/>
      <x:c r="AQ151" s="86" t="str">
        <x:f>IF(A151="","",IF(COUNTIF($A$7:$A$156,A151)&gt;1,"ID 중복",IF(F151="","예산 매핑 필요",IF(OR(E151="예산코드 오류",G151="예산코드 오류"),"예산코드 오류",IF(AND(Y151&lt;&gt;"",Z151=""),"구매일 필요",IF(AND(AF151&lt;&gt;"",AG151=""),"지급일 필요",IF(AND(AF151&lt;&gt;"",AN151=""),"증빙ID 필요",IF(OR(Y151&lt;0,AF151&lt;0),"금액 오류",IF(AND(Y151&lt;&gt;"",R151&lt;&gt;"",Y151&gt;R151),"계획 초과","정상")))))))))</x:f>
      </x:c>
    </x:row>
    <x:row r="152" ht="24" customHeight="1">
      <x:c r="A152" s="85"/>
      <x:c r="B152" s="85"/>
      <x:c r="C152" s="85"/>
      <x:c r="D152" s="85"/>
      <x:c r="E152" s="86" t="str">
        <x:f>IF(F152="","",IFERROR(VLOOKUP(F152,'02_승인예산'!$A$7:$S$66,2,FALSE),"예산코드 오류"))</x:f>
      </x:c>
      <x:c r="F152" s="85"/>
      <x:c r="G152" s="86" t="str">
        <x:f>IF(F152="","",IFERROR(VLOOKUP(F152,'02_승인예산'!$A$7:$S$66,4,FALSE),"예산코드 오류"))</x:f>
      </x:c>
      <x:c r="H152" s="85"/>
      <x:c r="I152" s="85"/>
      <x:c r="J152" s="85"/>
      <x:c r="K152" s="85"/>
      <x:c r="L152" s="85"/>
      <x:c r="M152" s="95"/>
      <x:c r="N152" s="92"/>
      <x:c r="O152" s="88"/>
      <x:c r="P152" s="85"/>
      <x:c r="Q152" s="89"/>
      <x:c r="R152" s="90" t="str">
        <x:f>IF(OR(O152="",Q152=""),"",O152*Q152*IF(S152="별도",1.1,1))</x:f>
      </x:c>
      <x:c r="S152" s="85"/>
      <x:c r="T152" s="89"/>
      <x:c r="U152" s="89"/>
      <x:c r="V152" s="92"/>
      <x:c r="W152" s="88"/>
      <x:c r="X152" s="89"/>
      <x:c r="Y152" s="90" t="str">
        <x:f>IF(OR(W152="",X152=""),"",W152*X152*IF(S152="별도",1.1,1))</x:f>
      </x:c>
      <x:c r="Z152" s="93"/>
      <x:c r="AA152" s="90" t="str">
        <x:f>IF(OR(R152="",Y152=""),"",R152-Y152)</x:f>
      </x:c>
      <x:c r="AB152" s="90" t="str">
        <x:f>IF($A152="","",IF($B152="취소",0,IF($C152="제외",0,IF($Y152&lt;&gt;"",$Y152,IF($U152&lt;&gt;"",$U152,IF($T152&lt;&gt;"",$T152,$R152))))))</x:f>
      </x:c>
      <x:c r="AC152" s="91"/>
      <x:c r="AD152" s="91"/>
      <x:c r="AE152" s="91"/>
      <x:c r="AF152" s="90" t="str">
        <x:f>IF(AND(AC152="",AD152="",AE152=""),"",SUM(AC152:AE152))</x:f>
      </x:c>
      <x:c r="AG152" s="94"/>
      <x:c r="AH152" s="91" t="str">
        <x:f>IF(Y152="","",Y152-IF(AF152="",0,AF152))</x:f>
      </x:c>
      <x:c r="AI152" s="87"/>
      <x:c r="AJ152" s="87"/>
      <x:c r="AK152" s="87"/>
      <x:c r="AL152" s="87"/>
      <x:c r="AM152" s="87"/>
      <x:c r="AN152" s="85"/>
      <x:c r="AO152" s="85"/>
      <x:c r="AP152" s="85"/>
      <x:c r="AQ152" s="86" t="str">
        <x:f>IF(A152="","",IF(COUNTIF($A$7:$A$156,A152)&gt;1,"ID 중복",IF(F152="","예산 매핑 필요",IF(OR(E152="예산코드 오류",G152="예산코드 오류"),"예산코드 오류",IF(AND(Y152&lt;&gt;"",Z152=""),"구매일 필요",IF(AND(AF152&lt;&gt;"",AG152=""),"지급일 필요",IF(AND(AF152&lt;&gt;"",AN152=""),"증빙ID 필요",IF(OR(Y152&lt;0,AF152&lt;0),"금액 오류",IF(AND(Y152&lt;&gt;"",R152&lt;&gt;"",Y152&gt;R152),"계획 초과","정상")))))))))</x:f>
      </x:c>
    </x:row>
    <x:row r="153" ht="24" customHeight="1">
      <x:c r="A153" s="85"/>
      <x:c r="B153" s="85"/>
      <x:c r="C153" s="85"/>
      <x:c r="D153" s="85"/>
      <x:c r="E153" s="86" t="str">
        <x:f>IF(F153="","",IFERROR(VLOOKUP(F153,'02_승인예산'!$A$7:$S$66,2,FALSE),"예산코드 오류"))</x:f>
      </x:c>
      <x:c r="F153" s="85"/>
      <x:c r="G153" s="86" t="str">
        <x:f>IF(F153="","",IFERROR(VLOOKUP(F153,'02_승인예산'!$A$7:$S$66,4,FALSE),"예산코드 오류"))</x:f>
      </x:c>
      <x:c r="H153" s="85"/>
      <x:c r="I153" s="85"/>
      <x:c r="J153" s="85"/>
      <x:c r="K153" s="85"/>
      <x:c r="L153" s="85"/>
      <x:c r="M153" s="95"/>
      <x:c r="N153" s="92"/>
      <x:c r="O153" s="88"/>
      <x:c r="P153" s="85"/>
      <x:c r="Q153" s="89"/>
      <x:c r="R153" s="90" t="str">
        <x:f>IF(OR(O153="",Q153=""),"",O153*Q153*IF(S153="별도",1.1,1))</x:f>
      </x:c>
      <x:c r="S153" s="85"/>
      <x:c r="T153" s="89"/>
      <x:c r="U153" s="89"/>
      <x:c r="V153" s="92"/>
      <x:c r="W153" s="88"/>
      <x:c r="X153" s="89"/>
      <x:c r="Y153" s="90" t="str">
        <x:f>IF(OR(W153="",X153=""),"",W153*X153*IF(S153="별도",1.1,1))</x:f>
      </x:c>
      <x:c r="Z153" s="93"/>
      <x:c r="AA153" s="90" t="str">
        <x:f>IF(OR(R153="",Y153=""),"",R153-Y153)</x:f>
      </x:c>
      <x:c r="AB153" s="90" t="str">
        <x:f>IF($A153="","",IF($B153="취소",0,IF($C153="제외",0,IF($Y153&lt;&gt;"",$Y153,IF($U153&lt;&gt;"",$U153,IF($T153&lt;&gt;"",$T153,$R153))))))</x:f>
      </x:c>
      <x:c r="AC153" s="91"/>
      <x:c r="AD153" s="91"/>
      <x:c r="AE153" s="91"/>
      <x:c r="AF153" s="90" t="str">
        <x:f>IF(AND(AC153="",AD153="",AE153=""),"",SUM(AC153:AE153))</x:f>
      </x:c>
      <x:c r="AG153" s="94"/>
      <x:c r="AH153" s="91" t="str">
        <x:f>IF(Y153="","",Y153-IF(AF153="",0,AF153))</x:f>
      </x:c>
      <x:c r="AI153" s="87"/>
      <x:c r="AJ153" s="87"/>
      <x:c r="AK153" s="87"/>
      <x:c r="AL153" s="87"/>
      <x:c r="AM153" s="87"/>
      <x:c r="AN153" s="85"/>
      <x:c r="AO153" s="85"/>
      <x:c r="AP153" s="85"/>
      <x:c r="AQ153" s="86" t="str">
        <x:f>IF(A153="","",IF(COUNTIF($A$7:$A$156,A153)&gt;1,"ID 중복",IF(F153="","예산 매핑 필요",IF(OR(E153="예산코드 오류",G153="예산코드 오류"),"예산코드 오류",IF(AND(Y153&lt;&gt;"",Z153=""),"구매일 필요",IF(AND(AF153&lt;&gt;"",AG153=""),"지급일 필요",IF(AND(AF153&lt;&gt;"",AN153=""),"증빙ID 필요",IF(OR(Y153&lt;0,AF153&lt;0),"금액 오류",IF(AND(Y153&lt;&gt;"",R153&lt;&gt;"",Y153&gt;R153),"계획 초과","정상")))))))))</x:f>
      </x:c>
    </x:row>
    <x:row r="154" ht="24" customHeight="1">
      <x:c r="A154" s="85"/>
      <x:c r="B154" s="85"/>
      <x:c r="C154" s="85"/>
      <x:c r="D154" s="85"/>
      <x:c r="E154" s="86" t="str">
        <x:f>IF(F154="","",IFERROR(VLOOKUP(F154,'02_승인예산'!$A$7:$S$66,2,FALSE),"예산코드 오류"))</x:f>
      </x:c>
      <x:c r="F154" s="85"/>
      <x:c r="G154" s="86" t="str">
        <x:f>IF(F154="","",IFERROR(VLOOKUP(F154,'02_승인예산'!$A$7:$S$66,4,FALSE),"예산코드 오류"))</x:f>
      </x:c>
      <x:c r="H154" s="85"/>
      <x:c r="I154" s="85"/>
      <x:c r="J154" s="85"/>
      <x:c r="K154" s="85"/>
      <x:c r="L154" s="85"/>
      <x:c r="M154" s="95"/>
      <x:c r="N154" s="92"/>
      <x:c r="O154" s="88"/>
      <x:c r="P154" s="85"/>
      <x:c r="Q154" s="89"/>
      <x:c r="R154" s="90" t="str">
        <x:f>IF(OR(O154="",Q154=""),"",O154*Q154*IF(S154="별도",1.1,1))</x:f>
      </x:c>
      <x:c r="S154" s="85"/>
      <x:c r="T154" s="89"/>
      <x:c r="U154" s="89"/>
      <x:c r="V154" s="92"/>
      <x:c r="W154" s="88"/>
      <x:c r="X154" s="89"/>
      <x:c r="Y154" s="90" t="str">
        <x:f>IF(OR(W154="",X154=""),"",W154*X154*IF(S154="별도",1.1,1))</x:f>
      </x:c>
      <x:c r="Z154" s="93"/>
      <x:c r="AA154" s="90" t="str">
        <x:f>IF(OR(R154="",Y154=""),"",R154-Y154)</x:f>
      </x:c>
      <x:c r="AB154" s="90" t="str">
        <x:f>IF($A154="","",IF($B154="취소",0,IF($C154="제외",0,IF($Y154&lt;&gt;"",$Y154,IF($U154&lt;&gt;"",$U154,IF($T154&lt;&gt;"",$T154,$R154))))))</x:f>
      </x:c>
      <x:c r="AC154" s="91"/>
      <x:c r="AD154" s="91"/>
      <x:c r="AE154" s="91"/>
      <x:c r="AF154" s="90" t="str">
        <x:f>IF(AND(AC154="",AD154="",AE154=""),"",SUM(AC154:AE154))</x:f>
      </x:c>
      <x:c r="AG154" s="94"/>
      <x:c r="AH154" s="91" t="str">
        <x:f>IF(Y154="","",Y154-IF(AF154="",0,AF154))</x:f>
      </x:c>
      <x:c r="AI154" s="87"/>
      <x:c r="AJ154" s="87"/>
      <x:c r="AK154" s="87"/>
      <x:c r="AL154" s="87"/>
      <x:c r="AM154" s="87"/>
      <x:c r="AN154" s="85"/>
      <x:c r="AO154" s="85"/>
      <x:c r="AP154" s="85"/>
      <x:c r="AQ154" s="86" t="str">
        <x:f>IF(A154="","",IF(COUNTIF($A$7:$A$156,A154)&gt;1,"ID 중복",IF(F154="","예산 매핑 필요",IF(OR(E154="예산코드 오류",G154="예산코드 오류"),"예산코드 오류",IF(AND(Y154&lt;&gt;"",Z154=""),"구매일 필요",IF(AND(AF154&lt;&gt;"",AG154=""),"지급일 필요",IF(AND(AF154&lt;&gt;"",AN154=""),"증빙ID 필요",IF(OR(Y154&lt;0,AF154&lt;0),"금액 오류",IF(AND(Y154&lt;&gt;"",R154&lt;&gt;"",Y154&gt;R154),"계획 초과","정상")))))))))</x:f>
      </x:c>
    </x:row>
    <x:row r="155" ht="24" customHeight="1">
      <x:c r="A155" s="85"/>
      <x:c r="B155" s="85"/>
      <x:c r="C155" s="85"/>
      <x:c r="D155" s="85"/>
      <x:c r="E155" s="86" t="str">
        <x:f>IF(F155="","",IFERROR(VLOOKUP(F155,'02_승인예산'!$A$7:$S$66,2,FALSE),"예산코드 오류"))</x:f>
      </x:c>
      <x:c r="F155" s="85"/>
      <x:c r="G155" s="86" t="str">
        <x:f>IF(F155="","",IFERROR(VLOOKUP(F155,'02_승인예산'!$A$7:$S$66,4,FALSE),"예산코드 오류"))</x:f>
      </x:c>
      <x:c r="H155" s="85"/>
      <x:c r="I155" s="85"/>
      <x:c r="J155" s="85"/>
      <x:c r="K155" s="85"/>
      <x:c r="L155" s="85"/>
      <x:c r="M155" s="95"/>
      <x:c r="N155" s="92"/>
      <x:c r="O155" s="88"/>
      <x:c r="P155" s="85"/>
      <x:c r="Q155" s="89"/>
      <x:c r="R155" s="90" t="str">
        <x:f>IF(OR(O155="",Q155=""),"",O155*Q155*IF(S155="별도",1.1,1))</x:f>
      </x:c>
      <x:c r="S155" s="85"/>
      <x:c r="T155" s="89"/>
      <x:c r="U155" s="89"/>
      <x:c r="V155" s="92"/>
      <x:c r="W155" s="88"/>
      <x:c r="X155" s="89"/>
      <x:c r="Y155" s="90" t="str">
        <x:f>IF(OR(W155="",X155=""),"",W155*X155*IF(S155="별도",1.1,1))</x:f>
      </x:c>
      <x:c r="Z155" s="93"/>
      <x:c r="AA155" s="90" t="str">
        <x:f>IF(OR(R155="",Y155=""),"",R155-Y155)</x:f>
      </x:c>
      <x:c r="AB155" s="90" t="str">
        <x:f>IF($A155="","",IF($B155="취소",0,IF($C155="제외",0,IF($Y155&lt;&gt;"",$Y155,IF($U155&lt;&gt;"",$U155,IF($T155&lt;&gt;"",$T155,$R155))))))</x:f>
      </x:c>
      <x:c r="AC155" s="91"/>
      <x:c r="AD155" s="91"/>
      <x:c r="AE155" s="91"/>
      <x:c r="AF155" s="90" t="str">
        <x:f>IF(AND(AC155="",AD155="",AE155=""),"",SUM(AC155:AE155))</x:f>
      </x:c>
      <x:c r="AG155" s="94"/>
      <x:c r="AH155" s="91" t="str">
        <x:f>IF(Y155="","",Y155-IF(AF155="",0,AF155))</x:f>
      </x:c>
      <x:c r="AI155" s="87"/>
      <x:c r="AJ155" s="87"/>
      <x:c r="AK155" s="87"/>
      <x:c r="AL155" s="87"/>
      <x:c r="AM155" s="87"/>
      <x:c r="AN155" s="85"/>
      <x:c r="AO155" s="85"/>
      <x:c r="AP155" s="85"/>
      <x:c r="AQ155" s="86" t="str">
        <x:f>IF(A155="","",IF(COUNTIF($A$7:$A$156,A155)&gt;1,"ID 중복",IF(F155="","예산 매핑 필요",IF(OR(E155="예산코드 오류",G155="예산코드 오류"),"예산코드 오류",IF(AND(Y155&lt;&gt;"",Z155=""),"구매일 필요",IF(AND(AF155&lt;&gt;"",AG155=""),"지급일 필요",IF(AND(AF155&lt;&gt;"",AN155=""),"증빙ID 필요",IF(OR(Y155&lt;0,AF155&lt;0),"금액 오류",IF(AND(Y155&lt;&gt;"",R155&lt;&gt;"",Y155&gt;R155),"계획 초과","정상")))))))))</x:f>
      </x:c>
    </x:row>
    <x:row r="156" ht="24" customHeight="1">
      <x:c r="A156" s="85"/>
      <x:c r="B156" s="85"/>
      <x:c r="C156" s="85"/>
      <x:c r="D156" s="85"/>
      <x:c r="E156" s="86" t="str">
        <x:f>IF(F156="","",IFERROR(VLOOKUP(F156,'02_승인예산'!$A$7:$S$66,2,FALSE),"예산코드 오류"))</x:f>
      </x:c>
      <x:c r="F156" s="85"/>
      <x:c r="G156" s="86" t="str">
        <x:f>IF(F156="","",IFERROR(VLOOKUP(F156,'02_승인예산'!$A$7:$S$66,4,FALSE),"예산코드 오류"))</x:f>
      </x:c>
      <x:c r="H156" s="85"/>
      <x:c r="I156" s="85"/>
      <x:c r="J156" s="85"/>
      <x:c r="K156" s="85"/>
      <x:c r="L156" s="85"/>
      <x:c r="M156" s="95"/>
      <x:c r="N156" s="92"/>
      <x:c r="O156" s="88"/>
      <x:c r="P156" s="85"/>
      <x:c r="Q156" s="89"/>
      <x:c r="R156" s="90" t="str">
        <x:f>IF(OR(O156="",Q156=""),"",O156*Q156*IF(S156="별도",1.1,1))</x:f>
      </x:c>
      <x:c r="S156" s="85"/>
      <x:c r="T156" s="89"/>
      <x:c r="U156" s="89"/>
      <x:c r="V156" s="92"/>
      <x:c r="W156" s="88"/>
      <x:c r="X156" s="89"/>
      <x:c r="Y156" s="90" t="str">
        <x:f>IF(OR(W156="",X156=""),"",W156*X156*IF(S156="별도",1.1,1))</x:f>
      </x:c>
      <x:c r="Z156" s="93"/>
      <x:c r="AA156" s="90" t="str">
        <x:f>IF(OR(R156="",Y156=""),"",R156-Y156)</x:f>
      </x:c>
      <x:c r="AB156" s="90" t="str">
        <x:f>IF($A156="","",IF($B156="취소",0,IF($C156="제외",0,IF($Y156&lt;&gt;"",$Y156,IF($U156&lt;&gt;"",$U156,IF($T156&lt;&gt;"",$T156,$R156))))))</x:f>
      </x:c>
      <x:c r="AC156" s="91"/>
      <x:c r="AD156" s="91"/>
      <x:c r="AE156" s="91"/>
      <x:c r="AF156" s="90" t="str">
        <x:f>IF(AND(AC156="",AD156="",AE156=""),"",SUM(AC156:AE156))</x:f>
      </x:c>
      <x:c r="AG156" s="94"/>
      <x:c r="AH156" s="91" t="str">
        <x:f>IF(Y156="","",Y156-IF(AF156="",0,AF156))</x:f>
      </x:c>
      <x:c r="AI156" s="87"/>
      <x:c r="AJ156" s="87"/>
      <x:c r="AK156" s="87"/>
      <x:c r="AL156" s="87"/>
      <x:c r="AM156" s="87"/>
      <x:c r="AN156" s="85"/>
      <x:c r="AO156" s="85"/>
      <x:c r="AP156" s="85"/>
      <x:c r="AQ156" s="86" t="str">
        <x:f>IF(A156="","",IF(COUNTIF($A$7:$A$156,A156)&gt;1,"ID 중복",IF(F156="","예산 매핑 필요",IF(OR(E156="예산코드 오류",G156="예산코드 오류"),"예산코드 오류",IF(AND(Y156&lt;&gt;"",Z156=""),"구매일 필요",IF(AND(AF156&lt;&gt;"",AG156=""),"지급일 필요",IF(AND(AF156&lt;&gt;"",AN156=""),"증빙ID 필요",IF(OR(Y156&lt;0,AF156&lt;0),"금액 오류",IF(AND(Y156&lt;&gt;"",R156&lt;&gt;"",Y156&gt;R156),"계획 초과","정상")))))))))</x:f>
      </x:c>
    </x:row>
  </x:sheetData>
  <x:mergeCells>
    <x:mergeCell ref="A1:AQ1"/>
    <x:mergeCell ref="A2:AQ2"/>
    <x:mergeCell ref="A4:C4"/>
    <x:mergeCell ref="D4:M4"/>
    <x:mergeCell ref="N4:V4"/>
    <x:mergeCell ref="W4:AB4"/>
    <x:mergeCell ref="AC4:AI4"/>
    <x:mergeCell ref="AJ4:AQ4"/>
    <x:mergeCell ref="A5:AQ5"/>
  </x:mergeCells>
  <x:conditionalFormatting sqref="AA7:AA156">
    <x:cfRule type="cellIs" dxfId="18" priority="1" operator="lessThan">
      <x:formula>0</x:formula>
    </x:cfRule>
  </x:conditionalFormatting>
  <x:conditionalFormatting sqref="AQ7:AQ156">
    <x:cfRule type="containsText" dxfId="19" priority="2" operator="containsText" text="완료"/>
    <x:cfRule type="containsText" dxfId="20" priority="3" operator="containsText" text="정상"/>
    <x:cfRule type="containsText" dxfId="21" priority="4" operator="containsText" text="검토"/>
    <x:cfRule type="containsText" dxfId="22" priority="5" operator="containsText" text="필요"/>
    <x:cfRule type="containsText" dxfId="23" priority="6" operator="containsText" text="보류"/>
    <x:cfRule type="containsText" dxfId="24" priority="7" operator="containsText" text="취소"/>
    <x:cfRule type="containsText" dxfId="25" priority="8" operator="containsText" text="초과"/>
    <x:cfRule type="containsText" dxfId="26" priority="9" operator="containsText" text="오류"/>
    <x:cfRule type="containsText" dxfId="27" priority="10" operator="containsText" text="중복"/>
  </x:conditionalFormatting>
  <x:conditionalFormatting sqref="B7:B156">
    <x:cfRule type="containsText" dxfId="28" priority="11" operator="containsText" text="완료"/>
    <x:cfRule type="containsText" dxfId="29" priority="12" operator="containsText" text="견적"/>
    <x:cfRule type="containsText" dxfId="30" priority="13" operator="containsText" text="보류"/>
  </x:conditionalFormatting>
  <x:conditionalFormatting sqref="C7:C156">
    <x:cfRule type="containsText" dxfId="31" priority="14" operator="containsText" text="포함"/>
  </x:conditionalFormatting>
  <x:dataValidations count="14">
    <x:dataValidation type="list" sqref="B7:B156">
      <x:formula1>"검토중,견적/비교중,승인대기,주문/계약완료,납품/수행중,완료,보유확인,보류,취소"</x:formula1>
    </x:dataValidation>
    <x:dataValidation type="list" sqref="C7:C156">
      <x:formula1>"포함,제외"</x:formula1>
    </x:dataValidation>
    <x:dataValidation type="list" sqref="D7:D156">
      <x:formula1>"물품/소모품,연구장비,시설/운영,소프트웨어/클라우드,시험/분석,외주용역,전문가활용,임차/리스,인건비/수당,기타"</x:formula1>
    </x:dataValidation>
    <x:dataValidation type="list" sqref="S7:S156">
      <x:formula1>"포함,별도,면세,확인필요"</x:formula1>
    </x:dataValidation>
    <x:dataValidation type="list" sqref="AI7:AI156">
      <x:formula1>"미검토,검토중,증빙완료,정산완료,보완,불인정"</x:formula1>
    </x:dataValidation>
    <x:dataValidation type="list" sqref="AJ7:AJ156">
      <x:formula1>"주관기관,참여기관 1,참여기관 2"</x:formula1>
    </x:dataValidation>
    <x:dataValidation type="decimal" operator="greaterThanOrEqual" sqref="O7:O156">
      <x:formula1>0</x:formula1>
    </x:dataValidation>
    <x:dataValidation type="decimal" operator="greaterThanOrEqual" sqref="Q7:Q156">
      <x:formula1>0</x:formula1>
    </x:dataValidation>
    <x:dataValidation type="decimal" operator="greaterThanOrEqual" sqref="T7:T156">
      <x:formula1>0</x:formula1>
    </x:dataValidation>
    <x:dataValidation type="decimal" operator="greaterThanOrEqual" sqref="U7:U156">
      <x:formula1>0</x:formula1>
    </x:dataValidation>
    <x:dataValidation type="decimal" operator="greaterThanOrEqual" sqref="W7:W156">
      <x:formula1>0</x:formula1>
    </x:dataValidation>
    <x:dataValidation type="decimal" operator="greaterThanOrEqual" sqref="X7:X156">
      <x:formula1>0</x:formula1>
    </x:dataValidation>
    <x:dataValidation type="decimal" operator="greaterThanOrEqual" sqref="AC7:AC156">
      <x:formula1>0</x:formula1>
    </x:dataValidation>
    <x:dataValidation type="decimal" operator="greaterThanOrEqual" sqref="AD7:AD15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f235161a7c44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48" hidden="0" customWidth="1"/>
    <x:col min="5" max="5" width="16" hidden="0" customWidth="1"/>
    <x:col min="6" max="6" width="12" hidden="0" customWidth="1"/>
    <x:col min="7" max="7" width="17" hidden="0" customWidth="1"/>
    <x:col min="8" max="8" width="18" hidden="0" customWidth="1"/>
    <x:col min="9" max="9" width="17" hidden="0" customWidth="1"/>
    <x:col min="10" max="10" width="18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17" hidden="0" customWidth="1"/>
    <x:col min="16" max="16" width="11" hidden="0" customWidth="1"/>
    <x:col min="17" max="17" width="16" hidden="0" customWidth="1"/>
    <x:col min="18" max="18" width="40" hidden="0" customWidth="1"/>
    <x:col min="19" max="19" width="52" hidden="0" customWidth="1"/>
  </x:cols>
  <x:sheetData>
    <x:row r="1" ht="34" customHeight="1">
      <x:c r="A1" s="3" t="str">
        <x:v>승인예산 기준원장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0" customHeight="1">
      <x:c r="A2" s="7" t="str">
        <x:v>IRIS 등록 사업계획서가 최우선 기준 | 공식 단가·수량·승인액은 고정하고 구매·전망·집행은 01 원장에서 자동 집계 | 금액 단위: 원 · 표시: ₩ | v1.1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>
      <x:c r="A4" s="54" t="str">
        <x:v>사업별 IRIS 제출완료본의 승인 예산라인을 먼저 등록하세요. 같은 예산라인에 여러 세부 품목이 연결될 수 있습니다.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</x:row>
    <x:row r="6" ht="34" customHeight="1">
      <x:c r="A6" s="31" t="str">
        <x:v>예산라인ID</x:v>
      </x:c>
      <x:c r="B6" s="31" t="str">
        <x:v>비목</x:v>
      </x:c>
      <x:c r="C6" s="31" t="str">
        <x:v>관리유형</x:v>
      </x:c>
      <x:c r="D6" s="31" t="str">
        <x:v>공식 산출내역</x:v>
      </x:c>
      <x:c r="E6" s="31" t="str">
        <x:v>계획단가(원)</x:v>
      </x:c>
      <x:c r="F6" s="31" t="str">
        <x:v>계획수량</x:v>
      </x:c>
      <x:c r="G6" s="31" t="str">
        <x:v>승인예산(원)</x:v>
      </x:c>
      <x:c r="H6" s="31" t="str">
        <x:v>전체 세부계획(원) [자동]</x:v>
      </x:c>
      <x:c r="I6" s="31" t="str">
        <x:v>구매계획 전망(원) [자동]</x:v>
      </x:c>
      <x:c r="J6" s="31" t="str">
        <x:v>실구매·수행(원) [자동]</x:v>
      </x:c>
      <x:c r="K6" s="31" t="str">
        <x:v>인정집행(원) [자동]</x:v>
      </x:c>
      <x:c r="L6" s="31" t="str">
        <x:v>계획후잔액(원) [자동]</x:v>
      </x:c>
      <x:c r="M6" s="31" t="str">
        <x:v>전망잔액(원) [자동]</x:v>
      </x:c>
      <x:c r="N6" s="31" t="str">
        <x:v>실구매후잔액(원) [자동]</x:v>
      </x:c>
      <x:c r="O6" s="31" t="str">
        <x:v>예산잔액(원) [자동]</x:v>
      </x:c>
      <x:c r="P6" s="31" t="str">
        <x:v>집행률 [자동]</x:v>
      </x:c>
      <x:c r="Q6" s="31" t="str">
        <x:v>상태 [자동]</x:v>
      </x:c>
      <x:c r="R6" s="31" t="str">
        <x:v>기준문서</x:v>
      </x:c>
      <x:c r="S6" s="31" t="str">
        <x:v>통제메모</x:v>
      </x:c>
    </x:row>
    <x:row r="7" ht="24" customHeight="1">
      <x:c r="A7" s="85"/>
      <x:c r="B7" s="85"/>
      <x:c r="C7" s="85"/>
      <x:c r="D7" s="85"/>
      <x:c r="E7" s="89"/>
      <x:c r="F7" s="88"/>
      <x:c r="G7" s="89"/>
      <x:c r="H7" s="90" t="str">
        <x:f>IF(A7="","",SUMIF('01_구매비용원장'!$F$7:$F$156,A7,'01_구매비용원장'!$R$7:$R$156))</x:f>
      </x:c>
      <x:c r="I7" s="90" t="str">
        <x:f>IF(A7="","",SUMIF('01_구매비용원장'!$F$7:$F$156,A7,'01_구매비용원장'!$AB$7:$AB$156))</x:f>
      </x:c>
      <x:c r="J7" s="90" t="str">
        <x:f>IF(A7="","",SUMIF('01_구매비용원장'!$F$7:$F$156,A7,'01_구매비용원장'!$Y$7:$Y$156))</x:f>
      </x:c>
      <x:c r="K7" s="90" t="str">
        <x:f>IF(A7="","",SUMIF('01_구매비용원장'!$F$7:$F$156,A7,'01_구매비용원장'!$AF$7:$AF$156))</x:f>
      </x:c>
      <x:c r="L7" s="90" t="str">
        <x:f>IF(A7="","",G7-H7)</x:f>
      </x:c>
      <x:c r="M7" s="90" t="str">
        <x:f>IF(A7="","",G7-I7)</x:f>
      </x:c>
      <x:c r="N7" s="90" t="str">
        <x:f>IF(A7="","",G7-J7)</x:f>
      </x:c>
      <x:c r="O7" s="90" t="str">
        <x:f>IF(A7="","",G7-K7)</x:f>
      </x:c>
      <x:c r="P7" s="97" t="str">
        <x:f>IF(A7="","",IF(G7=0,0,K7/G7))</x:f>
      </x:c>
      <x:c r="Q7" s="86" t="str">
        <x:f>IF(A7="","",IF(L7&lt;0,"세부계획 초과",IF(M7&lt;0,"전망 초과",IF(N7&lt;0,"실구매 초과",IF(O7&lt;0,"집행 초과",IF(K7&gt;0,"집행중","미집행"))))))</x:f>
      </x:c>
      <x:c r="R7" s="96"/>
      <x:c r="S7" s="96"/>
    </x:row>
    <x:row r="8" ht="24" customHeight="1">
      <x:c r="A8" s="85"/>
      <x:c r="B8" s="85"/>
      <x:c r="C8" s="85"/>
      <x:c r="D8" s="85"/>
      <x:c r="E8" s="89"/>
      <x:c r="F8" s="88"/>
      <x:c r="G8" s="89"/>
      <x:c r="H8" s="90" t="str">
        <x:f>IF(A8="","",SUMIF('01_구매비용원장'!$F$7:$F$156,A8,'01_구매비용원장'!$R$7:$R$156))</x:f>
      </x:c>
      <x:c r="I8" s="90" t="str">
        <x:f>IF(A8="","",SUMIF('01_구매비용원장'!$F$7:$F$156,A8,'01_구매비용원장'!$AB$7:$AB$156))</x:f>
      </x:c>
      <x:c r="J8" s="90" t="str">
        <x:f>IF(A8="","",SUMIF('01_구매비용원장'!$F$7:$F$156,A8,'01_구매비용원장'!$Y$7:$Y$156))</x:f>
      </x:c>
      <x:c r="K8" s="90" t="str">
        <x:f>IF(A8="","",SUMIF('01_구매비용원장'!$F$7:$F$156,A8,'01_구매비용원장'!$AF$7:$AF$156))</x:f>
      </x:c>
      <x:c r="L8" s="90" t="str">
        <x:f>IF(A8="","",G8-H8)</x:f>
      </x:c>
      <x:c r="M8" s="90" t="str">
        <x:f>IF(A8="","",G8-I8)</x:f>
      </x:c>
      <x:c r="N8" s="90" t="str">
        <x:f>IF(A8="","",G8-J8)</x:f>
      </x:c>
      <x:c r="O8" s="90" t="str">
        <x:f>IF(A8="","",G8-K8)</x:f>
      </x:c>
      <x:c r="P8" s="97" t="str">
        <x:f>IF(A8="","",IF(G8=0,0,K8/G8))</x:f>
      </x:c>
      <x:c r="Q8" s="86" t="str">
        <x:f>IF(A8="","",IF(L8&lt;0,"세부계획 초과",IF(M8&lt;0,"전망 초과",IF(N8&lt;0,"실구매 초과",IF(O8&lt;0,"집행 초과",IF(K8&gt;0,"집행중","미집행"))))))</x:f>
      </x:c>
      <x:c r="R8" s="96"/>
      <x:c r="S8" s="96"/>
    </x:row>
    <x:row r="9" ht="24" customHeight="1">
      <x:c r="A9" s="85"/>
      <x:c r="B9" s="85"/>
      <x:c r="C9" s="85"/>
      <x:c r="D9" s="85"/>
      <x:c r="E9" s="89"/>
      <x:c r="F9" s="88"/>
      <x:c r="G9" s="89"/>
      <x:c r="H9" s="90" t="str">
        <x:f>IF(A9="","",SUMIF('01_구매비용원장'!$F$7:$F$156,A9,'01_구매비용원장'!$R$7:$R$156))</x:f>
      </x:c>
      <x:c r="I9" s="90" t="str">
        <x:f>IF(A9="","",SUMIF('01_구매비용원장'!$F$7:$F$156,A9,'01_구매비용원장'!$AB$7:$AB$156))</x:f>
      </x:c>
      <x:c r="J9" s="90" t="str">
        <x:f>IF(A9="","",SUMIF('01_구매비용원장'!$F$7:$F$156,A9,'01_구매비용원장'!$Y$7:$Y$156))</x:f>
      </x:c>
      <x:c r="K9" s="90" t="str">
        <x:f>IF(A9="","",SUMIF('01_구매비용원장'!$F$7:$F$156,A9,'01_구매비용원장'!$AF$7:$AF$156))</x:f>
      </x:c>
      <x:c r="L9" s="90" t="str">
        <x:f>IF(A9="","",G9-H9)</x:f>
      </x:c>
      <x:c r="M9" s="90" t="str">
        <x:f>IF(A9="","",G9-I9)</x:f>
      </x:c>
      <x:c r="N9" s="90" t="str">
        <x:f>IF(A9="","",G9-J9)</x:f>
      </x:c>
      <x:c r="O9" s="90" t="str">
        <x:f>IF(A9="","",G9-K9)</x:f>
      </x:c>
      <x:c r="P9" s="97" t="str">
        <x:f>IF(A9="","",IF(G9=0,0,K9/G9))</x:f>
      </x:c>
      <x:c r="Q9" s="86" t="str">
        <x:f>IF(A9="","",IF(L9&lt;0,"세부계획 초과",IF(M9&lt;0,"전망 초과",IF(N9&lt;0,"실구매 초과",IF(O9&lt;0,"집행 초과",IF(K9&gt;0,"집행중","미집행"))))))</x:f>
      </x:c>
      <x:c r="R9" s="96"/>
      <x:c r="S9" s="96"/>
    </x:row>
    <x:row r="10" ht="24" customHeight="1">
      <x:c r="A10" s="85"/>
      <x:c r="B10" s="85"/>
      <x:c r="C10" s="85"/>
      <x:c r="D10" s="85"/>
      <x:c r="E10" s="89"/>
      <x:c r="F10" s="88"/>
      <x:c r="G10" s="89"/>
      <x:c r="H10" s="90" t="str">
        <x:f>IF(A10="","",SUMIF('01_구매비용원장'!$F$7:$F$156,A10,'01_구매비용원장'!$R$7:$R$156))</x:f>
      </x:c>
      <x:c r="I10" s="90" t="str">
        <x:f>IF(A10="","",SUMIF('01_구매비용원장'!$F$7:$F$156,A10,'01_구매비용원장'!$AB$7:$AB$156))</x:f>
      </x:c>
      <x:c r="J10" s="90" t="str">
        <x:f>IF(A10="","",SUMIF('01_구매비용원장'!$F$7:$F$156,A10,'01_구매비용원장'!$Y$7:$Y$156))</x:f>
      </x:c>
      <x:c r="K10" s="90" t="str">
        <x:f>IF(A10="","",SUMIF('01_구매비용원장'!$F$7:$F$156,A10,'01_구매비용원장'!$AF$7:$AF$156))</x:f>
      </x:c>
      <x:c r="L10" s="90" t="str">
        <x:f>IF(A10="","",G10-H10)</x:f>
      </x:c>
      <x:c r="M10" s="90" t="str">
        <x:f>IF(A10="","",G10-I10)</x:f>
      </x:c>
      <x:c r="N10" s="90" t="str">
        <x:f>IF(A10="","",G10-J10)</x:f>
      </x:c>
      <x:c r="O10" s="90" t="str">
        <x:f>IF(A10="","",G10-K10)</x:f>
      </x:c>
      <x:c r="P10" s="97" t="str">
        <x:f>IF(A10="","",IF(G10=0,0,K10/G10))</x:f>
      </x:c>
      <x:c r="Q10" s="86" t="str">
        <x:f>IF(A10="","",IF(L10&lt;0,"세부계획 초과",IF(M10&lt;0,"전망 초과",IF(N10&lt;0,"실구매 초과",IF(O10&lt;0,"집행 초과",IF(K10&gt;0,"집행중","미집행"))))))</x:f>
      </x:c>
      <x:c r="R10" s="96"/>
      <x:c r="S10" s="96"/>
    </x:row>
    <x:row r="11" ht="24" customHeight="1">
      <x:c r="A11" s="85"/>
      <x:c r="B11" s="85"/>
      <x:c r="C11" s="85"/>
      <x:c r="D11" s="85"/>
      <x:c r="E11" s="89"/>
      <x:c r="F11" s="88"/>
      <x:c r="G11" s="89"/>
      <x:c r="H11" s="90" t="str">
        <x:f>IF(A11="","",SUMIF('01_구매비용원장'!$F$7:$F$156,A11,'01_구매비용원장'!$R$7:$R$156))</x:f>
      </x:c>
      <x:c r="I11" s="90" t="str">
        <x:f>IF(A11="","",SUMIF('01_구매비용원장'!$F$7:$F$156,A11,'01_구매비용원장'!$AB$7:$AB$156))</x:f>
      </x:c>
      <x:c r="J11" s="90" t="str">
        <x:f>IF(A11="","",SUMIF('01_구매비용원장'!$F$7:$F$156,A11,'01_구매비용원장'!$Y$7:$Y$156))</x:f>
      </x:c>
      <x:c r="K11" s="90" t="str">
        <x:f>IF(A11="","",SUMIF('01_구매비용원장'!$F$7:$F$156,A11,'01_구매비용원장'!$AF$7:$AF$156))</x:f>
      </x:c>
      <x:c r="L11" s="90" t="str">
        <x:f>IF(A11="","",G11-H11)</x:f>
      </x:c>
      <x:c r="M11" s="90" t="str">
        <x:f>IF(A11="","",G11-I11)</x:f>
      </x:c>
      <x:c r="N11" s="90" t="str">
        <x:f>IF(A11="","",G11-J11)</x:f>
      </x:c>
      <x:c r="O11" s="90" t="str">
        <x:f>IF(A11="","",G11-K11)</x:f>
      </x:c>
      <x:c r="P11" s="97" t="str">
        <x:f>IF(A11="","",IF(G11=0,0,K11/G11))</x:f>
      </x:c>
      <x:c r="Q11" s="86" t="str">
        <x:f>IF(A11="","",IF(L11&lt;0,"세부계획 초과",IF(M11&lt;0,"전망 초과",IF(N11&lt;0,"실구매 초과",IF(O11&lt;0,"집행 초과",IF(K11&gt;0,"집행중","미집행"))))))</x:f>
      </x:c>
      <x:c r="R11" s="96"/>
      <x:c r="S11" s="96"/>
    </x:row>
    <x:row r="12" ht="24" customHeight="1">
      <x:c r="A12" s="85"/>
      <x:c r="B12" s="85"/>
      <x:c r="C12" s="85"/>
      <x:c r="D12" s="85"/>
      <x:c r="E12" s="89"/>
      <x:c r="F12" s="88"/>
      <x:c r="G12" s="89"/>
      <x:c r="H12" s="90" t="str">
        <x:f>IF(A12="","",SUMIF('01_구매비용원장'!$F$7:$F$156,A12,'01_구매비용원장'!$R$7:$R$156))</x:f>
      </x:c>
      <x:c r="I12" s="90" t="str">
        <x:f>IF(A12="","",SUMIF('01_구매비용원장'!$F$7:$F$156,A12,'01_구매비용원장'!$AB$7:$AB$156))</x:f>
      </x:c>
      <x:c r="J12" s="90" t="str">
        <x:f>IF(A12="","",SUMIF('01_구매비용원장'!$F$7:$F$156,A12,'01_구매비용원장'!$Y$7:$Y$156))</x:f>
      </x:c>
      <x:c r="K12" s="90" t="str">
        <x:f>IF(A12="","",SUMIF('01_구매비용원장'!$F$7:$F$156,A12,'01_구매비용원장'!$AF$7:$AF$156))</x:f>
      </x:c>
      <x:c r="L12" s="90" t="str">
        <x:f>IF(A12="","",G12-H12)</x:f>
      </x:c>
      <x:c r="M12" s="90" t="str">
        <x:f>IF(A12="","",G12-I12)</x:f>
      </x:c>
      <x:c r="N12" s="90" t="str">
        <x:f>IF(A12="","",G12-J12)</x:f>
      </x:c>
      <x:c r="O12" s="90" t="str">
        <x:f>IF(A12="","",G12-K12)</x:f>
      </x:c>
      <x:c r="P12" s="97" t="str">
        <x:f>IF(A12="","",IF(G12=0,0,K12/G12))</x:f>
      </x:c>
      <x:c r="Q12" s="86" t="str">
        <x:f>IF(A12="","",IF(L12&lt;0,"세부계획 초과",IF(M12&lt;0,"전망 초과",IF(N12&lt;0,"실구매 초과",IF(O12&lt;0,"집행 초과",IF(K12&gt;0,"집행중","미집행"))))))</x:f>
      </x:c>
      <x:c r="R12" s="96"/>
      <x:c r="S12" s="96"/>
    </x:row>
    <x:row r="13" ht="24" customHeight="1">
      <x:c r="A13" s="85"/>
      <x:c r="B13" s="85"/>
      <x:c r="C13" s="85"/>
      <x:c r="D13" s="85"/>
      <x:c r="E13" s="89"/>
      <x:c r="F13" s="88"/>
      <x:c r="G13" s="89"/>
      <x:c r="H13" s="90" t="str">
        <x:f>IF(A13="","",SUMIF('01_구매비용원장'!$F$7:$F$156,A13,'01_구매비용원장'!$R$7:$R$156))</x:f>
      </x:c>
      <x:c r="I13" s="90" t="str">
        <x:f>IF(A13="","",SUMIF('01_구매비용원장'!$F$7:$F$156,A13,'01_구매비용원장'!$AB$7:$AB$156))</x:f>
      </x:c>
      <x:c r="J13" s="90" t="str">
        <x:f>IF(A13="","",SUMIF('01_구매비용원장'!$F$7:$F$156,A13,'01_구매비용원장'!$Y$7:$Y$156))</x:f>
      </x:c>
      <x:c r="K13" s="90" t="str">
        <x:f>IF(A13="","",SUMIF('01_구매비용원장'!$F$7:$F$156,A13,'01_구매비용원장'!$AF$7:$AF$156))</x:f>
      </x:c>
      <x:c r="L13" s="90" t="str">
        <x:f>IF(A13="","",G13-H13)</x:f>
      </x:c>
      <x:c r="M13" s="90" t="str">
        <x:f>IF(A13="","",G13-I13)</x:f>
      </x:c>
      <x:c r="N13" s="90" t="str">
        <x:f>IF(A13="","",G13-J13)</x:f>
      </x:c>
      <x:c r="O13" s="90" t="str">
        <x:f>IF(A13="","",G13-K13)</x:f>
      </x:c>
      <x:c r="P13" s="97" t="str">
        <x:f>IF(A13="","",IF(G13=0,0,K13/G13))</x:f>
      </x:c>
      <x:c r="Q13" s="86" t="str">
        <x:f>IF(A13="","",IF(L13&lt;0,"세부계획 초과",IF(M13&lt;0,"전망 초과",IF(N13&lt;0,"실구매 초과",IF(O13&lt;0,"집행 초과",IF(K13&gt;0,"집행중","미집행"))))))</x:f>
      </x:c>
      <x:c r="R13" s="96"/>
      <x:c r="S13" s="96"/>
    </x:row>
    <x:row r="14" ht="24" customHeight="1">
      <x:c r="A14" s="85"/>
      <x:c r="B14" s="85"/>
      <x:c r="C14" s="85"/>
      <x:c r="D14" s="85"/>
      <x:c r="E14" s="89"/>
      <x:c r="F14" s="88"/>
      <x:c r="G14" s="89"/>
      <x:c r="H14" s="90" t="str">
        <x:f>IF(A14="","",SUMIF('01_구매비용원장'!$F$7:$F$156,A14,'01_구매비용원장'!$R$7:$R$156))</x:f>
      </x:c>
      <x:c r="I14" s="90" t="str">
        <x:f>IF(A14="","",SUMIF('01_구매비용원장'!$F$7:$F$156,A14,'01_구매비용원장'!$AB$7:$AB$156))</x:f>
      </x:c>
      <x:c r="J14" s="90" t="str">
        <x:f>IF(A14="","",SUMIF('01_구매비용원장'!$F$7:$F$156,A14,'01_구매비용원장'!$Y$7:$Y$156))</x:f>
      </x:c>
      <x:c r="K14" s="90" t="str">
        <x:f>IF(A14="","",SUMIF('01_구매비용원장'!$F$7:$F$156,A14,'01_구매비용원장'!$AF$7:$AF$156))</x:f>
      </x:c>
      <x:c r="L14" s="90" t="str">
        <x:f>IF(A14="","",G14-H14)</x:f>
      </x:c>
      <x:c r="M14" s="90" t="str">
        <x:f>IF(A14="","",G14-I14)</x:f>
      </x:c>
      <x:c r="N14" s="90" t="str">
        <x:f>IF(A14="","",G14-J14)</x:f>
      </x:c>
      <x:c r="O14" s="90" t="str">
        <x:f>IF(A14="","",G14-K14)</x:f>
      </x:c>
      <x:c r="P14" s="97" t="str">
        <x:f>IF(A14="","",IF(G14=0,0,K14/G14))</x:f>
      </x:c>
      <x:c r="Q14" s="86" t="str">
        <x:f>IF(A14="","",IF(L14&lt;0,"세부계획 초과",IF(M14&lt;0,"전망 초과",IF(N14&lt;0,"실구매 초과",IF(O14&lt;0,"집행 초과",IF(K14&gt;0,"집행중","미집행"))))))</x:f>
      </x:c>
      <x:c r="R14" s="96"/>
      <x:c r="S14" s="96"/>
    </x:row>
    <x:row r="15" ht="24" customHeight="1">
      <x:c r="A15" s="85"/>
      <x:c r="B15" s="85"/>
      <x:c r="C15" s="85"/>
      <x:c r="D15" s="85"/>
      <x:c r="E15" s="89"/>
      <x:c r="F15" s="88"/>
      <x:c r="G15" s="89"/>
      <x:c r="H15" s="90" t="str">
        <x:f>IF(A15="","",SUMIF('01_구매비용원장'!$F$7:$F$156,A15,'01_구매비용원장'!$R$7:$R$156))</x:f>
      </x:c>
      <x:c r="I15" s="90" t="str">
        <x:f>IF(A15="","",SUMIF('01_구매비용원장'!$F$7:$F$156,A15,'01_구매비용원장'!$AB$7:$AB$156))</x:f>
      </x:c>
      <x:c r="J15" s="90" t="str">
        <x:f>IF(A15="","",SUMIF('01_구매비용원장'!$F$7:$F$156,A15,'01_구매비용원장'!$Y$7:$Y$156))</x:f>
      </x:c>
      <x:c r="K15" s="90" t="str">
        <x:f>IF(A15="","",SUMIF('01_구매비용원장'!$F$7:$F$156,A15,'01_구매비용원장'!$AF$7:$AF$156))</x:f>
      </x:c>
      <x:c r="L15" s="90" t="str">
        <x:f>IF(A15="","",G15-H15)</x:f>
      </x:c>
      <x:c r="M15" s="90" t="str">
        <x:f>IF(A15="","",G15-I15)</x:f>
      </x:c>
      <x:c r="N15" s="90" t="str">
        <x:f>IF(A15="","",G15-J15)</x:f>
      </x:c>
      <x:c r="O15" s="90" t="str">
        <x:f>IF(A15="","",G15-K15)</x:f>
      </x:c>
      <x:c r="P15" s="97" t="str">
        <x:f>IF(A15="","",IF(G15=0,0,K15/G15))</x:f>
      </x:c>
      <x:c r="Q15" s="86" t="str">
        <x:f>IF(A15="","",IF(L15&lt;0,"세부계획 초과",IF(M15&lt;0,"전망 초과",IF(N15&lt;0,"실구매 초과",IF(O15&lt;0,"집행 초과",IF(K15&gt;0,"집행중","미집행"))))))</x:f>
      </x:c>
      <x:c r="R15" s="96"/>
      <x:c r="S15" s="96"/>
    </x:row>
    <x:row r="16" ht="24" customHeight="1">
      <x:c r="A16" s="85"/>
      <x:c r="B16" s="85"/>
      <x:c r="C16" s="85"/>
      <x:c r="D16" s="85"/>
      <x:c r="E16" s="89"/>
      <x:c r="F16" s="88"/>
      <x:c r="G16" s="89"/>
      <x:c r="H16" s="90" t="str">
        <x:f>IF(A16="","",SUMIF('01_구매비용원장'!$F$7:$F$156,A16,'01_구매비용원장'!$R$7:$R$156))</x:f>
      </x:c>
      <x:c r="I16" s="90" t="str">
        <x:f>IF(A16="","",SUMIF('01_구매비용원장'!$F$7:$F$156,A16,'01_구매비용원장'!$AB$7:$AB$156))</x:f>
      </x:c>
      <x:c r="J16" s="90" t="str">
        <x:f>IF(A16="","",SUMIF('01_구매비용원장'!$F$7:$F$156,A16,'01_구매비용원장'!$Y$7:$Y$156))</x:f>
      </x:c>
      <x:c r="K16" s="90" t="str">
        <x:f>IF(A16="","",SUMIF('01_구매비용원장'!$F$7:$F$156,A16,'01_구매비용원장'!$AF$7:$AF$156))</x:f>
      </x:c>
      <x:c r="L16" s="90" t="str">
        <x:f>IF(A16="","",G16-H16)</x:f>
      </x:c>
      <x:c r="M16" s="90" t="str">
        <x:f>IF(A16="","",G16-I16)</x:f>
      </x:c>
      <x:c r="N16" s="90" t="str">
        <x:f>IF(A16="","",G16-J16)</x:f>
      </x:c>
      <x:c r="O16" s="90" t="str">
        <x:f>IF(A16="","",G16-K16)</x:f>
      </x:c>
      <x:c r="P16" s="97" t="str">
        <x:f>IF(A16="","",IF(G16=0,0,K16/G16))</x:f>
      </x:c>
      <x:c r="Q16" s="86" t="str">
        <x:f>IF(A16="","",IF(L16&lt;0,"세부계획 초과",IF(M16&lt;0,"전망 초과",IF(N16&lt;0,"실구매 초과",IF(O16&lt;0,"집행 초과",IF(K16&gt;0,"집행중","미집행"))))))</x:f>
      </x:c>
      <x:c r="R16" s="96"/>
      <x:c r="S16" s="96"/>
    </x:row>
    <x:row r="17" ht="24" customHeight="1">
      <x:c r="A17" s="85"/>
      <x:c r="B17" s="85"/>
      <x:c r="C17" s="85"/>
      <x:c r="D17" s="85"/>
      <x:c r="E17" s="89"/>
      <x:c r="F17" s="88"/>
      <x:c r="G17" s="89"/>
      <x:c r="H17" s="90" t="str">
        <x:f>IF(A17="","",SUMIF('01_구매비용원장'!$F$7:$F$156,A17,'01_구매비용원장'!$R$7:$R$156))</x:f>
      </x:c>
      <x:c r="I17" s="90" t="str">
        <x:f>IF(A17="","",SUMIF('01_구매비용원장'!$F$7:$F$156,A17,'01_구매비용원장'!$AB$7:$AB$156))</x:f>
      </x:c>
      <x:c r="J17" s="90" t="str">
        <x:f>IF(A17="","",SUMIF('01_구매비용원장'!$F$7:$F$156,A17,'01_구매비용원장'!$Y$7:$Y$156))</x:f>
      </x:c>
      <x:c r="K17" s="90" t="str">
        <x:f>IF(A17="","",SUMIF('01_구매비용원장'!$F$7:$F$156,A17,'01_구매비용원장'!$AF$7:$AF$156))</x:f>
      </x:c>
      <x:c r="L17" s="90" t="str">
        <x:f>IF(A17="","",G17-H17)</x:f>
      </x:c>
      <x:c r="M17" s="90" t="str">
        <x:f>IF(A17="","",G17-I17)</x:f>
      </x:c>
      <x:c r="N17" s="90" t="str">
        <x:f>IF(A17="","",G17-J17)</x:f>
      </x:c>
      <x:c r="O17" s="90" t="str">
        <x:f>IF(A17="","",G17-K17)</x:f>
      </x:c>
      <x:c r="P17" s="97" t="str">
        <x:f>IF(A17="","",IF(G17=0,0,K17/G17))</x:f>
      </x:c>
      <x:c r="Q17" s="86" t="str">
        <x:f>IF(A17="","",IF(L17&lt;0,"세부계획 초과",IF(M17&lt;0,"전망 초과",IF(N17&lt;0,"실구매 초과",IF(O17&lt;0,"집행 초과",IF(K17&gt;0,"집행중","미집행"))))))</x:f>
      </x:c>
      <x:c r="R17" s="96"/>
      <x:c r="S17" s="96"/>
    </x:row>
    <x:row r="18" ht="24" customHeight="1">
      <x:c r="A18" s="85"/>
      <x:c r="B18" s="85"/>
      <x:c r="C18" s="85"/>
      <x:c r="D18" s="85"/>
      <x:c r="E18" s="89"/>
      <x:c r="F18" s="88"/>
      <x:c r="G18" s="89"/>
      <x:c r="H18" s="90" t="str">
        <x:f>IF(A18="","",SUMIF('01_구매비용원장'!$F$7:$F$156,A18,'01_구매비용원장'!$R$7:$R$156))</x:f>
      </x:c>
      <x:c r="I18" s="90" t="str">
        <x:f>IF(A18="","",SUMIF('01_구매비용원장'!$F$7:$F$156,A18,'01_구매비용원장'!$AB$7:$AB$156))</x:f>
      </x:c>
      <x:c r="J18" s="90" t="str">
        <x:f>IF(A18="","",SUMIF('01_구매비용원장'!$F$7:$F$156,A18,'01_구매비용원장'!$Y$7:$Y$156))</x:f>
      </x:c>
      <x:c r="K18" s="90" t="str">
        <x:f>IF(A18="","",SUMIF('01_구매비용원장'!$F$7:$F$156,A18,'01_구매비용원장'!$AF$7:$AF$156))</x:f>
      </x:c>
      <x:c r="L18" s="90" t="str">
        <x:f>IF(A18="","",G18-H18)</x:f>
      </x:c>
      <x:c r="M18" s="90" t="str">
        <x:f>IF(A18="","",G18-I18)</x:f>
      </x:c>
      <x:c r="N18" s="90" t="str">
        <x:f>IF(A18="","",G18-J18)</x:f>
      </x:c>
      <x:c r="O18" s="90" t="str">
        <x:f>IF(A18="","",G18-K18)</x:f>
      </x:c>
      <x:c r="P18" s="97" t="str">
        <x:f>IF(A18="","",IF(G18=0,0,K18/G18))</x:f>
      </x:c>
      <x:c r="Q18" s="86" t="str">
        <x:f>IF(A18="","",IF(L18&lt;0,"세부계획 초과",IF(M18&lt;0,"전망 초과",IF(N18&lt;0,"실구매 초과",IF(O18&lt;0,"집행 초과",IF(K18&gt;0,"집행중","미집행"))))))</x:f>
      </x:c>
      <x:c r="R18" s="96"/>
      <x:c r="S18" s="96"/>
    </x:row>
    <x:row r="19" ht="24" customHeight="1">
      <x:c r="A19" s="85"/>
      <x:c r="B19" s="85"/>
      <x:c r="C19" s="85"/>
      <x:c r="D19" s="85"/>
      <x:c r="E19" s="89"/>
      <x:c r="F19" s="88"/>
      <x:c r="G19" s="89"/>
      <x:c r="H19" s="90" t="str">
        <x:f>IF(A19="","",SUMIF('01_구매비용원장'!$F$7:$F$156,A19,'01_구매비용원장'!$R$7:$R$156))</x:f>
      </x:c>
      <x:c r="I19" s="90" t="str">
        <x:f>IF(A19="","",SUMIF('01_구매비용원장'!$F$7:$F$156,A19,'01_구매비용원장'!$AB$7:$AB$156))</x:f>
      </x:c>
      <x:c r="J19" s="90" t="str">
        <x:f>IF(A19="","",SUMIF('01_구매비용원장'!$F$7:$F$156,A19,'01_구매비용원장'!$Y$7:$Y$156))</x:f>
      </x:c>
      <x:c r="K19" s="90" t="str">
        <x:f>IF(A19="","",SUMIF('01_구매비용원장'!$F$7:$F$156,A19,'01_구매비용원장'!$AF$7:$AF$156))</x:f>
      </x:c>
      <x:c r="L19" s="90" t="str">
        <x:f>IF(A19="","",G19-H19)</x:f>
      </x:c>
      <x:c r="M19" s="90" t="str">
        <x:f>IF(A19="","",G19-I19)</x:f>
      </x:c>
      <x:c r="N19" s="90" t="str">
        <x:f>IF(A19="","",G19-J19)</x:f>
      </x:c>
      <x:c r="O19" s="90" t="str">
        <x:f>IF(A19="","",G19-K19)</x:f>
      </x:c>
      <x:c r="P19" s="97" t="str">
        <x:f>IF(A19="","",IF(G19=0,0,K19/G19))</x:f>
      </x:c>
      <x:c r="Q19" s="86" t="str">
        <x:f>IF(A19="","",IF(L19&lt;0,"세부계획 초과",IF(M19&lt;0,"전망 초과",IF(N19&lt;0,"실구매 초과",IF(O19&lt;0,"집행 초과",IF(K19&gt;0,"집행중","미집행"))))))</x:f>
      </x:c>
      <x:c r="R19" s="96"/>
      <x:c r="S19" s="96"/>
    </x:row>
    <x:row r="20" ht="24" customHeight="1">
      <x:c r="A20" s="85"/>
      <x:c r="B20" s="85"/>
      <x:c r="C20" s="85"/>
      <x:c r="D20" s="85"/>
      <x:c r="E20" s="89"/>
      <x:c r="F20" s="88"/>
      <x:c r="G20" s="89"/>
      <x:c r="H20" s="90" t="str">
        <x:f>IF(A20="","",SUMIF('01_구매비용원장'!$F$7:$F$156,A20,'01_구매비용원장'!$R$7:$R$156))</x:f>
      </x:c>
      <x:c r="I20" s="90" t="str">
        <x:f>IF(A20="","",SUMIF('01_구매비용원장'!$F$7:$F$156,A20,'01_구매비용원장'!$AB$7:$AB$156))</x:f>
      </x:c>
      <x:c r="J20" s="90" t="str">
        <x:f>IF(A20="","",SUMIF('01_구매비용원장'!$F$7:$F$156,A20,'01_구매비용원장'!$Y$7:$Y$156))</x:f>
      </x:c>
      <x:c r="K20" s="90" t="str">
        <x:f>IF(A20="","",SUMIF('01_구매비용원장'!$F$7:$F$156,A20,'01_구매비용원장'!$AF$7:$AF$156))</x:f>
      </x:c>
      <x:c r="L20" s="90" t="str">
        <x:f>IF(A20="","",G20-H20)</x:f>
      </x:c>
      <x:c r="M20" s="90" t="str">
        <x:f>IF(A20="","",G20-I20)</x:f>
      </x:c>
      <x:c r="N20" s="90" t="str">
        <x:f>IF(A20="","",G20-J20)</x:f>
      </x:c>
      <x:c r="O20" s="90" t="str">
        <x:f>IF(A20="","",G20-K20)</x:f>
      </x:c>
      <x:c r="P20" s="97" t="str">
        <x:f>IF(A20="","",IF(G20=0,0,K20/G20))</x:f>
      </x:c>
      <x:c r="Q20" s="86" t="str">
        <x:f>IF(A20="","",IF(L20&lt;0,"세부계획 초과",IF(M20&lt;0,"전망 초과",IF(N20&lt;0,"실구매 초과",IF(O20&lt;0,"집행 초과",IF(K20&gt;0,"집행중","미집행"))))))</x:f>
      </x:c>
      <x:c r="R20" s="96"/>
      <x:c r="S20" s="96"/>
    </x:row>
    <x:row r="21" ht="24" customHeight="1">
      <x:c r="A21" s="85"/>
      <x:c r="B21" s="85"/>
      <x:c r="C21" s="85"/>
      <x:c r="D21" s="85"/>
      <x:c r="E21" s="89"/>
      <x:c r="F21" s="88"/>
      <x:c r="G21" s="89"/>
      <x:c r="H21" s="90" t="str">
        <x:f>IF(A21="","",SUMIF('01_구매비용원장'!$F$7:$F$156,A21,'01_구매비용원장'!$R$7:$R$156))</x:f>
      </x:c>
      <x:c r="I21" s="90" t="str">
        <x:f>IF(A21="","",SUMIF('01_구매비용원장'!$F$7:$F$156,A21,'01_구매비용원장'!$AB$7:$AB$156))</x:f>
      </x:c>
      <x:c r="J21" s="90" t="str">
        <x:f>IF(A21="","",SUMIF('01_구매비용원장'!$F$7:$F$156,A21,'01_구매비용원장'!$Y$7:$Y$156))</x:f>
      </x:c>
      <x:c r="K21" s="90" t="str">
        <x:f>IF(A21="","",SUMIF('01_구매비용원장'!$F$7:$F$156,A21,'01_구매비용원장'!$AF$7:$AF$156))</x:f>
      </x:c>
      <x:c r="L21" s="90" t="str">
        <x:f>IF(A21="","",G21-H21)</x:f>
      </x:c>
      <x:c r="M21" s="90" t="str">
        <x:f>IF(A21="","",G21-I21)</x:f>
      </x:c>
      <x:c r="N21" s="90" t="str">
        <x:f>IF(A21="","",G21-J21)</x:f>
      </x:c>
      <x:c r="O21" s="90" t="str">
        <x:f>IF(A21="","",G21-K21)</x:f>
      </x:c>
      <x:c r="P21" s="97" t="str">
        <x:f>IF(A21="","",IF(G21=0,0,K21/G21))</x:f>
      </x:c>
      <x:c r="Q21" s="86" t="str">
        <x:f>IF(A21="","",IF(L21&lt;0,"세부계획 초과",IF(M21&lt;0,"전망 초과",IF(N21&lt;0,"실구매 초과",IF(O21&lt;0,"집행 초과",IF(K21&gt;0,"집행중","미집행"))))))</x:f>
      </x:c>
      <x:c r="R21" s="96"/>
      <x:c r="S21" s="96"/>
    </x:row>
    <x:row r="22" ht="24" customHeight="1">
      <x:c r="A22" s="85"/>
      <x:c r="B22" s="85"/>
      <x:c r="C22" s="85"/>
      <x:c r="D22" s="85"/>
      <x:c r="E22" s="89"/>
      <x:c r="F22" s="88"/>
      <x:c r="G22" s="89"/>
      <x:c r="H22" s="90" t="str">
        <x:f>IF(A22="","",SUMIF('01_구매비용원장'!$F$7:$F$156,A22,'01_구매비용원장'!$R$7:$R$156))</x:f>
      </x:c>
      <x:c r="I22" s="90" t="str">
        <x:f>IF(A22="","",SUMIF('01_구매비용원장'!$F$7:$F$156,A22,'01_구매비용원장'!$AB$7:$AB$156))</x:f>
      </x:c>
      <x:c r="J22" s="90" t="str">
        <x:f>IF(A22="","",SUMIF('01_구매비용원장'!$F$7:$F$156,A22,'01_구매비용원장'!$Y$7:$Y$156))</x:f>
      </x:c>
      <x:c r="K22" s="90" t="str">
        <x:f>IF(A22="","",SUMIF('01_구매비용원장'!$F$7:$F$156,A22,'01_구매비용원장'!$AF$7:$AF$156))</x:f>
      </x:c>
      <x:c r="L22" s="90" t="str">
        <x:f>IF(A22="","",G22-H22)</x:f>
      </x:c>
      <x:c r="M22" s="90" t="str">
        <x:f>IF(A22="","",G22-I22)</x:f>
      </x:c>
      <x:c r="N22" s="90" t="str">
        <x:f>IF(A22="","",G22-J22)</x:f>
      </x:c>
      <x:c r="O22" s="90" t="str">
        <x:f>IF(A22="","",G22-K22)</x:f>
      </x:c>
      <x:c r="P22" s="97" t="str">
        <x:f>IF(A22="","",IF(G22=0,0,K22/G22))</x:f>
      </x:c>
      <x:c r="Q22" s="86" t="str">
        <x:f>IF(A22="","",IF(L22&lt;0,"세부계획 초과",IF(M22&lt;0,"전망 초과",IF(N22&lt;0,"실구매 초과",IF(O22&lt;0,"집행 초과",IF(K22&gt;0,"집행중","미집행"))))))</x:f>
      </x:c>
      <x:c r="R22" s="96"/>
      <x:c r="S22" s="96"/>
    </x:row>
    <x:row r="23" ht="24" customHeight="1">
      <x:c r="A23" s="85"/>
      <x:c r="B23" s="85"/>
      <x:c r="C23" s="85"/>
      <x:c r="D23" s="85"/>
      <x:c r="E23" s="89"/>
      <x:c r="F23" s="88"/>
      <x:c r="G23" s="89"/>
      <x:c r="H23" s="90" t="str">
        <x:f>IF(A23="","",SUMIF('01_구매비용원장'!$F$7:$F$156,A23,'01_구매비용원장'!$R$7:$R$156))</x:f>
      </x:c>
      <x:c r="I23" s="90" t="str">
        <x:f>IF(A23="","",SUMIF('01_구매비용원장'!$F$7:$F$156,A23,'01_구매비용원장'!$AB$7:$AB$156))</x:f>
      </x:c>
      <x:c r="J23" s="90" t="str">
        <x:f>IF(A23="","",SUMIF('01_구매비용원장'!$F$7:$F$156,A23,'01_구매비용원장'!$Y$7:$Y$156))</x:f>
      </x:c>
      <x:c r="K23" s="90" t="str">
        <x:f>IF(A23="","",SUMIF('01_구매비용원장'!$F$7:$F$156,A23,'01_구매비용원장'!$AF$7:$AF$156))</x:f>
      </x:c>
      <x:c r="L23" s="90" t="str">
        <x:f>IF(A23="","",G23-H23)</x:f>
      </x:c>
      <x:c r="M23" s="90" t="str">
        <x:f>IF(A23="","",G23-I23)</x:f>
      </x:c>
      <x:c r="N23" s="90" t="str">
        <x:f>IF(A23="","",G23-J23)</x:f>
      </x:c>
      <x:c r="O23" s="90" t="str">
        <x:f>IF(A23="","",G23-K23)</x:f>
      </x:c>
      <x:c r="P23" s="97" t="str">
        <x:f>IF(A23="","",IF(G23=0,0,K23/G23))</x:f>
      </x:c>
      <x:c r="Q23" s="86" t="str">
        <x:f>IF(A23="","",IF(L23&lt;0,"세부계획 초과",IF(M23&lt;0,"전망 초과",IF(N23&lt;0,"실구매 초과",IF(O23&lt;0,"집행 초과",IF(K23&gt;0,"집행중","미집행"))))))</x:f>
      </x:c>
      <x:c r="R23" s="96"/>
      <x:c r="S23" s="96"/>
    </x:row>
    <x:row r="24" ht="24" customHeight="1">
      <x:c r="A24" s="85"/>
      <x:c r="B24" s="85"/>
      <x:c r="C24" s="85"/>
      <x:c r="D24" s="85"/>
      <x:c r="E24" s="89"/>
      <x:c r="F24" s="88"/>
      <x:c r="G24" s="89"/>
      <x:c r="H24" s="90" t="str">
        <x:f>IF(A24="","",SUMIF('01_구매비용원장'!$F$7:$F$156,A24,'01_구매비용원장'!$R$7:$R$156))</x:f>
      </x:c>
      <x:c r="I24" s="90" t="str">
        <x:f>IF(A24="","",SUMIF('01_구매비용원장'!$F$7:$F$156,A24,'01_구매비용원장'!$AB$7:$AB$156))</x:f>
      </x:c>
      <x:c r="J24" s="90" t="str">
        <x:f>IF(A24="","",SUMIF('01_구매비용원장'!$F$7:$F$156,A24,'01_구매비용원장'!$Y$7:$Y$156))</x:f>
      </x:c>
      <x:c r="K24" s="90" t="str">
        <x:f>IF(A24="","",SUMIF('01_구매비용원장'!$F$7:$F$156,A24,'01_구매비용원장'!$AF$7:$AF$156))</x:f>
      </x:c>
      <x:c r="L24" s="90" t="str">
        <x:f>IF(A24="","",G24-H24)</x:f>
      </x:c>
      <x:c r="M24" s="90" t="str">
        <x:f>IF(A24="","",G24-I24)</x:f>
      </x:c>
      <x:c r="N24" s="90" t="str">
        <x:f>IF(A24="","",G24-J24)</x:f>
      </x:c>
      <x:c r="O24" s="90" t="str">
        <x:f>IF(A24="","",G24-K24)</x:f>
      </x:c>
      <x:c r="P24" s="97" t="str">
        <x:f>IF(A24="","",IF(G24=0,0,K24/G24))</x:f>
      </x:c>
      <x:c r="Q24" s="86" t="str">
        <x:f>IF(A24="","",IF(L24&lt;0,"세부계획 초과",IF(M24&lt;0,"전망 초과",IF(N24&lt;0,"실구매 초과",IF(O24&lt;0,"집행 초과",IF(K24&gt;0,"집행중","미집행"))))))</x:f>
      </x:c>
      <x:c r="R24" s="96"/>
      <x:c r="S24" s="96"/>
    </x:row>
    <x:row r="25" ht="24" customHeight="1">
      <x:c r="A25" s="85"/>
      <x:c r="B25" s="85"/>
      <x:c r="C25" s="85"/>
      <x:c r="D25" s="85"/>
      <x:c r="E25" s="89"/>
      <x:c r="F25" s="88"/>
      <x:c r="G25" s="89"/>
      <x:c r="H25" s="90" t="str">
        <x:f>IF(A25="","",SUMIF('01_구매비용원장'!$F$7:$F$156,A25,'01_구매비용원장'!$R$7:$R$156))</x:f>
      </x:c>
      <x:c r="I25" s="90" t="str">
        <x:f>IF(A25="","",SUMIF('01_구매비용원장'!$F$7:$F$156,A25,'01_구매비용원장'!$AB$7:$AB$156))</x:f>
      </x:c>
      <x:c r="J25" s="90" t="str">
        <x:f>IF(A25="","",SUMIF('01_구매비용원장'!$F$7:$F$156,A25,'01_구매비용원장'!$Y$7:$Y$156))</x:f>
      </x:c>
      <x:c r="K25" s="90" t="str">
        <x:f>IF(A25="","",SUMIF('01_구매비용원장'!$F$7:$F$156,A25,'01_구매비용원장'!$AF$7:$AF$156))</x:f>
      </x:c>
      <x:c r="L25" s="90" t="str">
        <x:f>IF(A25="","",G25-H25)</x:f>
      </x:c>
      <x:c r="M25" s="90" t="str">
        <x:f>IF(A25="","",G25-I25)</x:f>
      </x:c>
      <x:c r="N25" s="90" t="str">
        <x:f>IF(A25="","",G25-J25)</x:f>
      </x:c>
      <x:c r="O25" s="90" t="str">
        <x:f>IF(A25="","",G25-K25)</x:f>
      </x:c>
      <x:c r="P25" s="97" t="str">
        <x:f>IF(A25="","",IF(G25=0,0,K25/G25))</x:f>
      </x:c>
      <x:c r="Q25" s="86" t="str">
        <x:f>IF(A25="","",IF(L25&lt;0,"세부계획 초과",IF(M25&lt;0,"전망 초과",IF(N25&lt;0,"실구매 초과",IF(O25&lt;0,"집행 초과",IF(K25&gt;0,"집행중","미집행"))))))</x:f>
      </x:c>
      <x:c r="R25" s="96"/>
      <x:c r="S25" s="96"/>
    </x:row>
    <x:row r="26" ht="24" customHeight="1">
      <x:c r="A26" s="85"/>
      <x:c r="B26" s="85"/>
      <x:c r="C26" s="85"/>
      <x:c r="D26" s="85"/>
      <x:c r="E26" s="89"/>
      <x:c r="F26" s="88"/>
      <x:c r="G26" s="89"/>
      <x:c r="H26" s="90" t="str">
        <x:f>IF(A26="","",SUMIF('01_구매비용원장'!$F$7:$F$156,A26,'01_구매비용원장'!$R$7:$R$156))</x:f>
      </x:c>
      <x:c r="I26" s="90" t="str">
        <x:f>IF(A26="","",SUMIF('01_구매비용원장'!$F$7:$F$156,A26,'01_구매비용원장'!$AB$7:$AB$156))</x:f>
      </x:c>
      <x:c r="J26" s="90" t="str">
        <x:f>IF(A26="","",SUMIF('01_구매비용원장'!$F$7:$F$156,A26,'01_구매비용원장'!$Y$7:$Y$156))</x:f>
      </x:c>
      <x:c r="K26" s="90" t="str">
        <x:f>IF(A26="","",SUMIF('01_구매비용원장'!$F$7:$F$156,A26,'01_구매비용원장'!$AF$7:$AF$156))</x:f>
      </x:c>
      <x:c r="L26" s="90" t="str">
        <x:f>IF(A26="","",G26-H26)</x:f>
      </x:c>
      <x:c r="M26" s="90" t="str">
        <x:f>IF(A26="","",G26-I26)</x:f>
      </x:c>
      <x:c r="N26" s="90" t="str">
        <x:f>IF(A26="","",G26-J26)</x:f>
      </x:c>
      <x:c r="O26" s="90" t="str">
        <x:f>IF(A26="","",G26-K26)</x:f>
      </x:c>
      <x:c r="P26" s="97" t="str">
        <x:f>IF(A26="","",IF(G26=0,0,K26/G26))</x:f>
      </x:c>
      <x:c r="Q26" s="86" t="str">
        <x:f>IF(A26="","",IF(L26&lt;0,"세부계획 초과",IF(M26&lt;0,"전망 초과",IF(N26&lt;0,"실구매 초과",IF(O26&lt;0,"집행 초과",IF(K26&gt;0,"집행중","미집행"))))))</x:f>
      </x:c>
      <x:c r="R26" s="96"/>
      <x:c r="S26" s="96"/>
    </x:row>
    <x:row r="27" ht="24" customHeight="1">
      <x:c r="A27" s="85"/>
      <x:c r="B27" s="85"/>
      <x:c r="C27" s="85"/>
      <x:c r="D27" s="85"/>
      <x:c r="E27" s="89"/>
      <x:c r="F27" s="88"/>
      <x:c r="G27" s="89"/>
      <x:c r="H27" s="90" t="str">
        <x:f>IF(A27="","",SUMIF('01_구매비용원장'!$F$7:$F$156,A27,'01_구매비용원장'!$R$7:$R$156))</x:f>
      </x:c>
      <x:c r="I27" s="90" t="str">
        <x:f>IF(A27="","",SUMIF('01_구매비용원장'!$F$7:$F$156,A27,'01_구매비용원장'!$AB$7:$AB$156))</x:f>
      </x:c>
      <x:c r="J27" s="90" t="str">
        <x:f>IF(A27="","",SUMIF('01_구매비용원장'!$F$7:$F$156,A27,'01_구매비용원장'!$Y$7:$Y$156))</x:f>
      </x:c>
      <x:c r="K27" s="90" t="str">
        <x:f>IF(A27="","",SUMIF('01_구매비용원장'!$F$7:$F$156,A27,'01_구매비용원장'!$AF$7:$AF$156))</x:f>
      </x:c>
      <x:c r="L27" s="90" t="str">
        <x:f>IF(A27="","",G27-H27)</x:f>
      </x:c>
      <x:c r="M27" s="90" t="str">
        <x:f>IF(A27="","",G27-I27)</x:f>
      </x:c>
      <x:c r="N27" s="90" t="str">
        <x:f>IF(A27="","",G27-J27)</x:f>
      </x:c>
      <x:c r="O27" s="90" t="str">
        <x:f>IF(A27="","",G27-K27)</x:f>
      </x:c>
      <x:c r="P27" s="97" t="str">
        <x:f>IF(A27="","",IF(G27=0,0,K27/G27))</x:f>
      </x:c>
      <x:c r="Q27" s="86" t="str">
        <x:f>IF(A27="","",IF(L27&lt;0,"세부계획 초과",IF(M27&lt;0,"전망 초과",IF(N27&lt;0,"실구매 초과",IF(O27&lt;0,"집행 초과",IF(K27&gt;0,"집행중","미집행"))))))</x:f>
      </x:c>
      <x:c r="R27" s="96"/>
      <x:c r="S27" s="96"/>
    </x:row>
    <x:row r="28" ht="24" customHeight="1">
      <x:c r="A28" s="85"/>
      <x:c r="B28" s="85"/>
      <x:c r="C28" s="85"/>
      <x:c r="D28" s="85"/>
      <x:c r="E28" s="89"/>
      <x:c r="F28" s="88"/>
      <x:c r="G28" s="89"/>
      <x:c r="H28" s="90" t="str">
        <x:f>IF(A28="","",SUMIF('01_구매비용원장'!$F$7:$F$156,A28,'01_구매비용원장'!$R$7:$R$156))</x:f>
      </x:c>
      <x:c r="I28" s="90" t="str">
        <x:f>IF(A28="","",SUMIF('01_구매비용원장'!$F$7:$F$156,A28,'01_구매비용원장'!$AB$7:$AB$156))</x:f>
      </x:c>
      <x:c r="J28" s="90" t="str">
        <x:f>IF(A28="","",SUMIF('01_구매비용원장'!$F$7:$F$156,A28,'01_구매비용원장'!$Y$7:$Y$156))</x:f>
      </x:c>
      <x:c r="K28" s="90" t="str">
        <x:f>IF(A28="","",SUMIF('01_구매비용원장'!$F$7:$F$156,A28,'01_구매비용원장'!$AF$7:$AF$156))</x:f>
      </x:c>
      <x:c r="L28" s="90" t="str">
        <x:f>IF(A28="","",G28-H28)</x:f>
      </x:c>
      <x:c r="M28" s="90" t="str">
        <x:f>IF(A28="","",G28-I28)</x:f>
      </x:c>
      <x:c r="N28" s="90" t="str">
        <x:f>IF(A28="","",G28-J28)</x:f>
      </x:c>
      <x:c r="O28" s="90" t="str">
        <x:f>IF(A28="","",G28-K28)</x:f>
      </x:c>
      <x:c r="P28" s="97" t="str">
        <x:f>IF(A28="","",IF(G28=0,0,K28/G28))</x:f>
      </x:c>
      <x:c r="Q28" s="86" t="str">
        <x:f>IF(A28="","",IF(L28&lt;0,"세부계획 초과",IF(M28&lt;0,"전망 초과",IF(N28&lt;0,"실구매 초과",IF(O28&lt;0,"집행 초과",IF(K28&gt;0,"집행중","미집행"))))))</x:f>
      </x:c>
      <x:c r="R28" s="96"/>
      <x:c r="S28" s="96"/>
    </x:row>
    <x:row r="29" ht="24" customHeight="1">
      <x:c r="A29" s="85"/>
      <x:c r="B29" s="85"/>
      <x:c r="C29" s="85"/>
      <x:c r="D29" s="85"/>
      <x:c r="E29" s="89"/>
      <x:c r="F29" s="88"/>
      <x:c r="G29" s="89"/>
      <x:c r="H29" s="90" t="str">
        <x:f>IF(A29="","",SUMIF('01_구매비용원장'!$F$7:$F$156,A29,'01_구매비용원장'!$R$7:$R$156))</x:f>
      </x:c>
      <x:c r="I29" s="90" t="str">
        <x:f>IF(A29="","",SUMIF('01_구매비용원장'!$F$7:$F$156,A29,'01_구매비용원장'!$AB$7:$AB$156))</x:f>
      </x:c>
      <x:c r="J29" s="90" t="str">
        <x:f>IF(A29="","",SUMIF('01_구매비용원장'!$F$7:$F$156,A29,'01_구매비용원장'!$Y$7:$Y$156))</x:f>
      </x:c>
      <x:c r="K29" s="90" t="str">
        <x:f>IF(A29="","",SUMIF('01_구매비용원장'!$F$7:$F$156,A29,'01_구매비용원장'!$AF$7:$AF$156))</x:f>
      </x:c>
      <x:c r="L29" s="90" t="str">
        <x:f>IF(A29="","",G29-H29)</x:f>
      </x:c>
      <x:c r="M29" s="90" t="str">
        <x:f>IF(A29="","",G29-I29)</x:f>
      </x:c>
      <x:c r="N29" s="90" t="str">
        <x:f>IF(A29="","",G29-J29)</x:f>
      </x:c>
      <x:c r="O29" s="90" t="str">
        <x:f>IF(A29="","",G29-K29)</x:f>
      </x:c>
      <x:c r="P29" s="97" t="str">
        <x:f>IF(A29="","",IF(G29=0,0,K29/G29))</x:f>
      </x:c>
      <x:c r="Q29" s="86" t="str">
        <x:f>IF(A29="","",IF(L29&lt;0,"세부계획 초과",IF(M29&lt;0,"전망 초과",IF(N29&lt;0,"실구매 초과",IF(O29&lt;0,"집행 초과",IF(K29&gt;0,"집행중","미집행"))))))</x:f>
      </x:c>
      <x:c r="R29" s="96"/>
      <x:c r="S29" s="96"/>
    </x:row>
    <x:row r="30" ht="24" customHeight="1">
      <x:c r="A30" s="85"/>
      <x:c r="B30" s="85"/>
      <x:c r="C30" s="85"/>
      <x:c r="D30" s="85"/>
      <x:c r="E30" s="89"/>
      <x:c r="F30" s="88"/>
      <x:c r="G30" s="89"/>
      <x:c r="H30" s="90" t="str">
        <x:f>IF(A30="","",SUMIF('01_구매비용원장'!$F$7:$F$156,A30,'01_구매비용원장'!$R$7:$R$156))</x:f>
      </x:c>
      <x:c r="I30" s="90" t="str">
        <x:f>IF(A30="","",SUMIF('01_구매비용원장'!$F$7:$F$156,A30,'01_구매비용원장'!$AB$7:$AB$156))</x:f>
      </x:c>
      <x:c r="J30" s="90" t="str">
        <x:f>IF(A30="","",SUMIF('01_구매비용원장'!$F$7:$F$156,A30,'01_구매비용원장'!$Y$7:$Y$156))</x:f>
      </x:c>
      <x:c r="K30" s="90" t="str">
        <x:f>IF(A30="","",SUMIF('01_구매비용원장'!$F$7:$F$156,A30,'01_구매비용원장'!$AF$7:$AF$156))</x:f>
      </x:c>
      <x:c r="L30" s="90" t="str">
        <x:f>IF(A30="","",G30-H30)</x:f>
      </x:c>
      <x:c r="M30" s="90" t="str">
        <x:f>IF(A30="","",G30-I30)</x:f>
      </x:c>
      <x:c r="N30" s="90" t="str">
        <x:f>IF(A30="","",G30-J30)</x:f>
      </x:c>
      <x:c r="O30" s="90" t="str">
        <x:f>IF(A30="","",G30-K30)</x:f>
      </x:c>
      <x:c r="P30" s="97" t="str">
        <x:f>IF(A30="","",IF(G30=0,0,K30/G30))</x:f>
      </x:c>
      <x:c r="Q30" s="86" t="str">
        <x:f>IF(A30="","",IF(L30&lt;0,"세부계획 초과",IF(M30&lt;0,"전망 초과",IF(N30&lt;0,"실구매 초과",IF(O30&lt;0,"집행 초과",IF(K30&gt;0,"집행중","미집행"))))))</x:f>
      </x:c>
      <x:c r="R30" s="96"/>
      <x:c r="S30" s="96"/>
    </x:row>
    <x:row r="31" ht="24" customHeight="1">
      <x:c r="A31" s="85"/>
      <x:c r="B31" s="85"/>
      <x:c r="C31" s="85"/>
      <x:c r="D31" s="85"/>
      <x:c r="E31" s="89"/>
      <x:c r="F31" s="88"/>
      <x:c r="G31" s="89"/>
      <x:c r="H31" s="90" t="str">
        <x:f>IF(A31="","",SUMIF('01_구매비용원장'!$F$7:$F$156,A31,'01_구매비용원장'!$R$7:$R$156))</x:f>
      </x:c>
      <x:c r="I31" s="90" t="str">
        <x:f>IF(A31="","",SUMIF('01_구매비용원장'!$F$7:$F$156,A31,'01_구매비용원장'!$AB$7:$AB$156))</x:f>
      </x:c>
      <x:c r="J31" s="90" t="str">
        <x:f>IF(A31="","",SUMIF('01_구매비용원장'!$F$7:$F$156,A31,'01_구매비용원장'!$Y$7:$Y$156))</x:f>
      </x:c>
      <x:c r="K31" s="90" t="str">
        <x:f>IF(A31="","",SUMIF('01_구매비용원장'!$F$7:$F$156,A31,'01_구매비용원장'!$AF$7:$AF$156))</x:f>
      </x:c>
      <x:c r="L31" s="90" t="str">
        <x:f>IF(A31="","",G31-H31)</x:f>
      </x:c>
      <x:c r="M31" s="90" t="str">
        <x:f>IF(A31="","",G31-I31)</x:f>
      </x:c>
      <x:c r="N31" s="90" t="str">
        <x:f>IF(A31="","",G31-J31)</x:f>
      </x:c>
      <x:c r="O31" s="90" t="str">
        <x:f>IF(A31="","",G31-K31)</x:f>
      </x:c>
      <x:c r="P31" s="97" t="str">
        <x:f>IF(A31="","",IF(G31=0,0,K31/G31))</x:f>
      </x:c>
      <x:c r="Q31" s="86" t="str">
        <x:f>IF(A31="","",IF(L31&lt;0,"세부계획 초과",IF(M31&lt;0,"전망 초과",IF(N31&lt;0,"실구매 초과",IF(O31&lt;0,"집행 초과",IF(K31&gt;0,"집행중","미집행"))))))</x:f>
      </x:c>
      <x:c r="R31" s="96"/>
      <x:c r="S31" s="96"/>
    </x:row>
    <x:row r="32" ht="24" customHeight="1">
      <x:c r="A32" s="85"/>
      <x:c r="B32" s="85"/>
      <x:c r="C32" s="85"/>
      <x:c r="D32" s="85"/>
      <x:c r="E32" s="89"/>
      <x:c r="F32" s="88"/>
      <x:c r="G32" s="89"/>
      <x:c r="H32" s="90" t="str">
        <x:f>IF(A32="","",SUMIF('01_구매비용원장'!$F$7:$F$156,A32,'01_구매비용원장'!$R$7:$R$156))</x:f>
      </x:c>
      <x:c r="I32" s="90" t="str">
        <x:f>IF(A32="","",SUMIF('01_구매비용원장'!$F$7:$F$156,A32,'01_구매비용원장'!$AB$7:$AB$156))</x:f>
      </x:c>
      <x:c r="J32" s="90" t="str">
        <x:f>IF(A32="","",SUMIF('01_구매비용원장'!$F$7:$F$156,A32,'01_구매비용원장'!$Y$7:$Y$156))</x:f>
      </x:c>
      <x:c r="K32" s="90" t="str">
        <x:f>IF(A32="","",SUMIF('01_구매비용원장'!$F$7:$F$156,A32,'01_구매비용원장'!$AF$7:$AF$156))</x:f>
      </x:c>
      <x:c r="L32" s="90" t="str">
        <x:f>IF(A32="","",G32-H32)</x:f>
      </x:c>
      <x:c r="M32" s="90" t="str">
        <x:f>IF(A32="","",G32-I32)</x:f>
      </x:c>
      <x:c r="N32" s="90" t="str">
        <x:f>IF(A32="","",G32-J32)</x:f>
      </x:c>
      <x:c r="O32" s="90" t="str">
        <x:f>IF(A32="","",G32-K32)</x:f>
      </x:c>
      <x:c r="P32" s="97" t="str">
        <x:f>IF(A32="","",IF(G32=0,0,K32/G32))</x:f>
      </x:c>
      <x:c r="Q32" s="86" t="str">
        <x:f>IF(A32="","",IF(L32&lt;0,"세부계획 초과",IF(M32&lt;0,"전망 초과",IF(N32&lt;0,"실구매 초과",IF(O32&lt;0,"집행 초과",IF(K32&gt;0,"집행중","미집행"))))))</x:f>
      </x:c>
      <x:c r="R32" s="96"/>
      <x:c r="S32" s="96"/>
    </x:row>
    <x:row r="33" ht="24" customHeight="1">
      <x:c r="A33" s="85"/>
      <x:c r="B33" s="85"/>
      <x:c r="C33" s="85"/>
      <x:c r="D33" s="85"/>
      <x:c r="E33" s="89"/>
      <x:c r="F33" s="88"/>
      <x:c r="G33" s="89"/>
      <x:c r="H33" s="90" t="str">
        <x:f>IF(A33="","",SUMIF('01_구매비용원장'!$F$7:$F$156,A33,'01_구매비용원장'!$R$7:$R$156))</x:f>
      </x:c>
      <x:c r="I33" s="90" t="str">
        <x:f>IF(A33="","",SUMIF('01_구매비용원장'!$F$7:$F$156,A33,'01_구매비용원장'!$AB$7:$AB$156))</x:f>
      </x:c>
      <x:c r="J33" s="90" t="str">
        <x:f>IF(A33="","",SUMIF('01_구매비용원장'!$F$7:$F$156,A33,'01_구매비용원장'!$Y$7:$Y$156))</x:f>
      </x:c>
      <x:c r="K33" s="90" t="str">
        <x:f>IF(A33="","",SUMIF('01_구매비용원장'!$F$7:$F$156,A33,'01_구매비용원장'!$AF$7:$AF$156))</x:f>
      </x:c>
      <x:c r="L33" s="90" t="str">
        <x:f>IF(A33="","",G33-H33)</x:f>
      </x:c>
      <x:c r="M33" s="90" t="str">
        <x:f>IF(A33="","",G33-I33)</x:f>
      </x:c>
      <x:c r="N33" s="90" t="str">
        <x:f>IF(A33="","",G33-J33)</x:f>
      </x:c>
      <x:c r="O33" s="90" t="str">
        <x:f>IF(A33="","",G33-K33)</x:f>
      </x:c>
      <x:c r="P33" s="97" t="str">
        <x:f>IF(A33="","",IF(G33=0,0,K33/G33))</x:f>
      </x:c>
      <x:c r="Q33" s="86" t="str">
        <x:f>IF(A33="","",IF(L33&lt;0,"세부계획 초과",IF(M33&lt;0,"전망 초과",IF(N33&lt;0,"실구매 초과",IF(O33&lt;0,"집행 초과",IF(K33&gt;0,"집행중","미집행"))))))</x:f>
      </x:c>
      <x:c r="R33" s="96"/>
      <x:c r="S33" s="96"/>
    </x:row>
    <x:row r="34" ht="24" customHeight="1">
      <x:c r="A34" s="85"/>
      <x:c r="B34" s="85"/>
      <x:c r="C34" s="85"/>
      <x:c r="D34" s="85"/>
      <x:c r="E34" s="89"/>
      <x:c r="F34" s="88"/>
      <x:c r="G34" s="89"/>
      <x:c r="H34" s="90" t="str">
        <x:f>IF(A34="","",SUMIF('01_구매비용원장'!$F$7:$F$156,A34,'01_구매비용원장'!$R$7:$R$156))</x:f>
      </x:c>
      <x:c r="I34" s="90" t="str">
        <x:f>IF(A34="","",SUMIF('01_구매비용원장'!$F$7:$F$156,A34,'01_구매비용원장'!$AB$7:$AB$156))</x:f>
      </x:c>
      <x:c r="J34" s="90" t="str">
        <x:f>IF(A34="","",SUMIF('01_구매비용원장'!$F$7:$F$156,A34,'01_구매비용원장'!$Y$7:$Y$156))</x:f>
      </x:c>
      <x:c r="K34" s="90" t="str">
        <x:f>IF(A34="","",SUMIF('01_구매비용원장'!$F$7:$F$156,A34,'01_구매비용원장'!$AF$7:$AF$156))</x:f>
      </x:c>
      <x:c r="L34" s="90" t="str">
        <x:f>IF(A34="","",G34-H34)</x:f>
      </x:c>
      <x:c r="M34" s="90" t="str">
        <x:f>IF(A34="","",G34-I34)</x:f>
      </x:c>
      <x:c r="N34" s="90" t="str">
        <x:f>IF(A34="","",G34-J34)</x:f>
      </x:c>
      <x:c r="O34" s="90" t="str">
        <x:f>IF(A34="","",G34-K34)</x:f>
      </x:c>
      <x:c r="P34" s="97" t="str">
        <x:f>IF(A34="","",IF(G34=0,0,K34/G34))</x:f>
      </x:c>
      <x:c r="Q34" s="86" t="str">
        <x:f>IF(A34="","",IF(L34&lt;0,"세부계획 초과",IF(M34&lt;0,"전망 초과",IF(N34&lt;0,"실구매 초과",IF(O34&lt;0,"집행 초과",IF(K34&gt;0,"집행중","미집행"))))))</x:f>
      </x:c>
      <x:c r="R34" s="96"/>
      <x:c r="S34" s="96"/>
    </x:row>
    <x:row r="35" ht="24" customHeight="1">
      <x:c r="A35" s="85"/>
      <x:c r="B35" s="85"/>
      <x:c r="C35" s="85"/>
      <x:c r="D35" s="85"/>
      <x:c r="E35" s="89"/>
      <x:c r="F35" s="88"/>
      <x:c r="G35" s="89"/>
      <x:c r="H35" s="90" t="str">
        <x:f>IF(A35="","",SUMIF('01_구매비용원장'!$F$7:$F$156,A35,'01_구매비용원장'!$R$7:$R$156))</x:f>
      </x:c>
      <x:c r="I35" s="90" t="str">
        <x:f>IF(A35="","",SUMIF('01_구매비용원장'!$F$7:$F$156,A35,'01_구매비용원장'!$AB$7:$AB$156))</x:f>
      </x:c>
      <x:c r="J35" s="90" t="str">
        <x:f>IF(A35="","",SUMIF('01_구매비용원장'!$F$7:$F$156,A35,'01_구매비용원장'!$Y$7:$Y$156))</x:f>
      </x:c>
      <x:c r="K35" s="90" t="str">
        <x:f>IF(A35="","",SUMIF('01_구매비용원장'!$F$7:$F$156,A35,'01_구매비용원장'!$AF$7:$AF$156))</x:f>
      </x:c>
      <x:c r="L35" s="90" t="str">
        <x:f>IF(A35="","",G35-H35)</x:f>
      </x:c>
      <x:c r="M35" s="90" t="str">
        <x:f>IF(A35="","",G35-I35)</x:f>
      </x:c>
      <x:c r="N35" s="90" t="str">
        <x:f>IF(A35="","",G35-J35)</x:f>
      </x:c>
      <x:c r="O35" s="90" t="str">
        <x:f>IF(A35="","",G35-K35)</x:f>
      </x:c>
      <x:c r="P35" s="97" t="str">
        <x:f>IF(A35="","",IF(G35=0,0,K35/G35))</x:f>
      </x:c>
      <x:c r="Q35" s="86" t="str">
        <x:f>IF(A35="","",IF(L35&lt;0,"세부계획 초과",IF(M35&lt;0,"전망 초과",IF(N35&lt;0,"실구매 초과",IF(O35&lt;0,"집행 초과",IF(K35&gt;0,"집행중","미집행"))))))</x:f>
      </x:c>
      <x:c r="R35" s="96"/>
      <x:c r="S35" s="96"/>
    </x:row>
    <x:row r="36" ht="24" customHeight="1">
      <x:c r="A36" s="85"/>
      <x:c r="B36" s="85"/>
      <x:c r="C36" s="85"/>
      <x:c r="D36" s="85"/>
      <x:c r="E36" s="89"/>
      <x:c r="F36" s="88"/>
      <x:c r="G36" s="89"/>
      <x:c r="H36" s="90" t="str">
        <x:f>IF(A36="","",SUMIF('01_구매비용원장'!$F$7:$F$156,A36,'01_구매비용원장'!$R$7:$R$156))</x:f>
      </x:c>
      <x:c r="I36" s="90" t="str">
        <x:f>IF(A36="","",SUMIF('01_구매비용원장'!$F$7:$F$156,A36,'01_구매비용원장'!$AB$7:$AB$156))</x:f>
      </x:c>
      <x:c r="J36" s="90" t="str">
        <x:f>IF(A36="","",SUMIF('01_구매비용원장'!$F$7:$F$156,A36,'01_구매비용원장'!$Y$7:$Y$156))</x:f>
      </x:c>
      <x:c r="K36" s="90" t="str">
        <x:f>IF(A36="","",SUMIF('01_구매비용원장'!$F$7:$F$156,A36,'01_구매비용원장'!$AF$7:$AF$156))</x:f>
      </x:c>
      <x:c r="L36" s="90" t="str">
        <x:f>IF(A36="","",G36-H36)</x:f>
      </x:c>
      <x:c r="M36" s="90" t="str">
        <x:f>IF(A36="","",G36-I36)</x:f>
      </x:c>
      <x:c r="N36" s="90" t="str">
        <x:f>IF(A36="","",G36-J36)</x:f>
      </x:c>
      <x:c r="O36" s="90" t="str">
        <x:f>IF(A36="","",G36-K36)</x:f>
      </x:c>
      <x:c r="P36" s="97" t="str">
        <x:f>IF(A36="","",IF(G36=0,0,K36/G36))</x:f>
      </x:c>
      <x:c r="Q36" s="86" t="str">
        <x:f>IF(A36="","",IF(L36&lt;0,"세부계획 초과",IF(M36&lt;0,"전망 초과",IF(N36&lt;0,"실구매 초과",IF(O36&lt;0,"집행 초과",IF(K36&gt;0,"집행중","미집행"))))))</x:f>
      </x:c>
      <x:c r="R36" s="96"/>
      <x:c r="S36" s="96"/>
    </x:row>
    <x:row r="37" ht="24" customHeight="1">
      <x:c r="A37" s="85"/>
      <x:c r="B37" s="85"/>
      <x:c r="C37" s="85"/>
      <x:c r="D37" s="85"/>
      <x:c r="E37" s="89"/>
      <x:c r="F37" s="88"/>
      <x:c r="G37" s="89"/>
      <x:c r="H37" s="90" t="str">
        <x:f>IF(A37="","",SUMIF('01_구매비용원장'!$F$7:$F$156,A37,'01_구매비용원장'!$R$7:$R$156))</x:f>
      </x:c>
      <x:c r="I37" s="90" t="str">
        <x:f>IF(A37="","",SUMIF('01_구매비용원장'!$F$7:$F$156,A37,'01_구매비용원장'!$AB$7:$AB$156))</x:f>
      </x:c>
      <x:c r="J37" s="90" t="str">
        <x:f>IF(A37="","",SUMIF('01_구매비용원장'!$F$7:$F$156,A37,'01_구매비용원장'!$Y$7:$Y$156))</x:f>
      </x:c>
      <x:c r="K37" s="90" t="str">
        <x:f>IF(A37="","",SUMIF('01_구매비용원장'!$F$7:$F$156,A37,'01_구매비용원장'!$AF$7:$AF$156))</x:f>
      </x:c>
      <x:c r="L37" s="90" t="str">
        <x:f>IF(A37="","",G37-H37)</x:f>
      </x:c>
      <x:c r="M37" s="90" t="str">
        <x:f>IF(A37="","",G37-I37)</x:f>
      </x:c>
      <x:c r="N37" s="90" t="str">
        <x:f>IF(A37="","",G37-J37)</x:f>
      </x:c>
      <x:c r="O37" s="90" t="str">
        <x:f>IF(A37="","",G37-K37)</x:f>
      </x:c>
      <x:c r="P37" s="97" t="str">
        <x:f>IF(A37="","",IF(G37=0,0,K37/G37))</x:f>
      </x:c>
      <x:c r="Q37" s="86" t="str">
        <x:f>IF(A37="","",IF(L37&lt;0,"세부계획 초과",IF(M37&lt;0,"전망 초과",IF(N37&lt;0,"실구매 초과",IF(O37&lt;0,"집행 초과",IF(K37&gt;0,"집행중","미집행"))))))</x:f>
      </x:c>
      <x:c r="R37" s="96"/>
      <x:c r="S37" s="96"/>
    </x:row>
    <x:row r="38" ht="24" customHeight="1">
      <x:c r="A38" s="85"/>
      <x:c r="B38" s="85"/>
      <x:c r="C38" s="85"/>
      <x:c r="D38" s="85"/>
      <x:c r="E38" s="89"/>
      <x:c r="F38" s="88"/>
      <x:c r="G38" s="89"/>
      <x:c r="H38" s="90" t="str">
        <x:f>IF(A38="","",SUMIF('01_구매비용원장'!$F$7:$F$156,A38,'01_구매비용원장'!$R$7:$R$156))</x:f>
      </x:c>
      <x:c r="I38" s="90" t="str">
        <x:f>IF(A38="","",SUMIF('01_구매비용원장'!$F$7:$F$156,A38,'01_구매비용원장'!$AB$7:$AB$156))</x:f>
      </x:c>
      <x:c r="J38" s="90" t="str">
        <x:f>IF(A38="","",SUMIF('01_구매비용원장'!$F$7:$F$156,A38,'01_구매비용원장'!$Y$7:$Y$156))</x:f>
      </x:c>
      <x:c r="K38" s="90" t="str">
        <x:f>IF(A38="","",SUMIF('01_구매비용원장'!$F$7:$F$156,A38,'01_구매비용원장'!$AF$7:$AF$156))</x:f>
      </x:c>
      <x:c r="L38" s="90" t="str">
        <x:f>IF(A38="","",G38-H38)</x:f>
      </x:c>
      <x:c r="M38" s="90" t="str">
        <x:f>IF(A38="","",G38-I38)</x:f>
      </x:c>
      <x:c r="N38" s="90" t="str">
        <x:f>IF(A38="","",G38-J38)</x:f>
      </x:c>
      <x:c r="O38" s="90" t="str">
        <x:f>IF(A38="","",G38-K38)</x:f>
      </x:c>
      <x:c r="P38" s="97" t="str">
        <x:f>IF(A38="","",IF(G38=0,0,K38/G38))</x:f>
      </x:c>
      <x:c r="Q38" s="86" t="str">
        <x:f>IF(A38="","",IF(L38&lt;0,"세부계획 초과",IF(M38&lt;0,"전망 초과",IF(N38&lt;0,"실구매 초과",IF(O38&lt;0,"집행 초과",IF(K38&gt;0,"집행중","미집행"))))))</x:f>
      </x:c>
      <x:c r="R38" s="96"/>
      <x:c r="S38" s="96"/>
    </x:row>
    <x:row r="39" ht="24" customHeight="1">
      <x:c r="A39" s="85"/>
      <x:c r="B39" s="85"/>
      <x:c r="C39" s="85"/>
      <x:c r="D39" s="85"/>
      <x:c r="E39" s="89"/>
      <x:c r="F39" s="88"/>
      <x:c r="G39" s="89"/>
      <x:c r="H39" s="90" t="str">
        <x:f>IF(A39="","",SUMIF('01_구매비용원장'!$F$7:$F$156,A39,'01_구매비용원장'!$R$7:$R$156))</x:f>
      </x:c>
      <x:c r="I39" s="90" t="str">
        <x:f>IF(A39="","",SUMIF('01_구매비용원장'!$F$7:$F$156,A39,'01_구매비용원장'!$AB$7:$AB$156))</x:f>
      </x:c>
      <x:c r="J39" s="90" t="str">
        <x:f>IF(A39="","",SUMIF('01_구매비용원장'!$F$7:$F$156,A39,'01_구매비용원장'!$Y$7:$Y$156))</x:f>
      </x:c>
      <x:c r="K39" s="90" t="str">
        <x:f>IF(A39="","",SUMIF('01_구매비용원장'!$F$7:$F$156,A39,'01_구매비용원장'!$AF$7:$AF$156))</x:f>
      </x:c>
      <x:c r="L39" s="90" t="str">
        <x:f>IF(A39="","",G39-H39)</x:f>
      </x:c>
      <x:c r="M39" s="90" t="str">
        <x:f>IF(A39="","",G39-I39)</x:f>
      </x:c>
      <x:c r="N39" s="90" t="str">
        <x:f>IF(A39="","",G39-J39)</x:f>
      </x:c>
      <x:c r="O39" s="90" t="str">
        <x:f>IF(A39="","",G39-K39)</x:f>
      </x:c>
      <x:c r="P39" s="97" t="str">
        <x:f>IF(A39="","",IF(G39=0,0,K39/G39))</x:f>
      </x:c>
      <x:c r="Q39" s="86" t="str">
        <x:f>IF(A39="","",IF(L39&lt;0,"세부계획 초과",IF(M39&lt;0,"전망 초과",IF(N39&lt;0,"실구매 초과",IF(O39&lt;0,"집행 초과",IF(K39&gt;0,"집행중","미집행"))))))</x:f>
      </x:c>
      <x:c r="R39" s="96"/>
      <x:c r="S39" s="96"/>
    </x:row>
    <x:row r="40" ht="24" customHeight="1">
      <x:c r="A40" s="85"/>
      <x:c r="B40" s="85"/>
      <x:c r="C40" s="85"/>
      <x:c r="D40" s="85"/>
      <x:c r="E40" s="89"/>
      <x:c r="F40" s="88"/>
      <x:c r="G40" s="89"/>
      <x:c r="H40" s="90" t="str">
        <x:f>IF(A40="","",SUMIF('01_구매비용원장'!$F$7:$F$156,A40,'01_구매비용원장'!$R$7:$R$156))</x:f>
      </x:c>
      <x:c r="I40" s="90" t="str">
        <x:f>IF(A40="","",SUMIF('01_구매비용원장'!$F$7:$F$156,A40,'01_구매비용원장'!$AB$7:$AB$156))</x:f>
      </x:c>
      <x:c r="J40" s="90" t="str">
        <x:f>IF(A40="","",SUMIF('01_구매비용원장'!$F$7:$F$156,A40,'01_구매비용원장'!$Y$7:$Y$156))</x:f>
      </x:c>
      <x:c r="K40" s="90" t="str">
        <x:f>IF(A40="","",SUMIF('01_구매비용원장'!$F$7:$F$156,A40,'01_구매비용원장'!$AF$7:$AF$156))</x:f>
      </x:c>
      <x:c r="L40" s="90" t="str">
        <x:f>IF(A40="","",G40-H40)</x:f>
      </x:c>
      <x:c r="M40" s="90" t="str">
        <x:f>IF(A40="","",G40-I40)</x:f>
      </x:c>
      <x:c r="N40" s="90" t="str">
        <x:f>IF(A40="","",G40-J40)</x:f>
      </x:c>
      <x:c r="O40" s="90" t="str">
        <x:f>IF(A40="","",G40-K40)</x:f>
      </x:c>
      <x:c r="P40" s="97" t="str">
        <x:f>IF(A40="","",IF(G40=0,0,K40/G40))</x:f>
      </x:c>
      <x:c r="Q40" s="86" t="str">
        <x:f>IF(A40="","",IF(L40&lt;0,"세부계획 초과",IF(M40&lt;0,"전망 초과",IF(N40&lt;0,"실구매 초과",IF(O40&lt;0,"집행 초과",IF(K40&gt;0,"집행중","미집행"))))))</x:f>
      </x:c>
      <x:c r="R40" s="96"/>
      <x:c r="S40" s="96"/>
    </x:row>
    <x:row r="41" ht="24" customHeight="1">
      <x:c r="A41" s="85"/>
      <x:c r="B41" s="85"/>
      <x:c r="C41" s="85"/>
      <x:c r="D41" s="85"/>
      <x:c r="E41" s="89"/>
      <x:c r="F41" s="88"/>
      <x:c r="G41" s="89"/>
      <x:c r="H41" s="90" t="str">
        <x:f>IF(A41="","",SUMIF('01_구매비용원장'!$F$7:$F$156,A41,'01_구매비용원장'!$R$7:$R$156))</x:f>
      </x:c>
      <x:c r="I41" s="90" t="str">
        <x:f>IF(A41="","",SUMIF('01_구매비용원장'!$F$7:$F$156,A41,'01_구매비용원장'!$AB$7:$AB$156))</x:f>
      </x:c>
      <x:c r="J41" s="90" t="str">
        <x:f>IF(A41="","",SUMIF('01_구매비용원장'!$F$7:$F$156,A41,'01_구매비용원장'!$Y$7:$Y$156))</x:f>
      </x:c>
      <x:c r="K41" s="90" t="str">
        <x:f>IF(A41="","",SUMIF('01_구매비용원장'!$F$7:$F$156,A41,'01_구매비용원장'!$AF$7:$AF$156))</x:f>
      </x:c>
      <x:c r="L41" s="90" t="str">
        <x:f>IF(A41="","",G41-H41)</x:f>
      </x:c>
      <x:c r="M41" s="90" t="str">
        <x:f>IF(A41="","",G41-I41)</x:f>
      </x:c>
      <x:c r="N41" s="90" t="str">
        <x:f>IF(A41="","",G41-J41)</x:f>
      </x:c>
      <x:c r="O41" s="90" t="str">
        <x:f>IF(A41="","",G41-K41)</x:f>
      </x:c>
      <x:c r="P41" s="97" t="str">
        <x:f>IF(A41="","",IF(G41=0,0,K41/G41))</x:f>
      </x:c>
      <x:c r="Q41" s="86" t="str">
        <x:f>IF(A41="","",IF(L41&lt;0,"세부계획 초과",IF(M41&lt;0,"전망 초과",IF(N41&lt;0,"실구매 초과",IF(O41&lt;0,"집행 초과",IF(K41&gt;0,"집행중","미집행"))))))</x:f>
      </x:c>
      <x:c r="R41" s="96"/>
      <x:c r="S41" s="96"/>
    </x:row>
    <x:row r="42" ht="24" customHeight="1">
      <x:c r="A42" s="85"/>
      <x:c r="B42" s="85"/>
      <x:c r="C42" s="85"/>
      <x:c r="D42" s="85"/>
      <x:c r="E42" s="89"/>
      <x:c r="F42" s="88"/>
      <x:c r="G42" s="89"/>
      <x:c r="H42" s="90" t="str">
        <x:f>IF(A42="","",SUMIF('01_구매비용원장'!$F$7:$F$156,A42,'01_구매비용원장'!$R$7:$R$156))</x:f>
      </x:c>
      <x:c r="I42" s="90" t="str">
        <x:f>IF(A42="","",SUMIF('01_구매비용원장'!$F$7:$F$156,A42,'01_구매비용원장'!$AB$7:$AB$156))</x:f>
      </x:c>
      <x:c r="J42" s="90" t="str">
        <x:f>IF(A42="","",SUMIF('01_구매비용원장'!$F$7:$F$156,A42,'01_구매비용원장'!$Y$7:$Y$156))</x:f>
      </x:c>
      <x:c r="K42" s="90" t="str">
        <x:f>IF(A42="","",SUMIF('01_구매비용원장'!$F$7:$F$156,A42,'01_구매비용원장'!$AF$7:$AF$156))</x:f>
      </x:c>
      <x:c r="L42" s="90" t="str">
        <x:f>IF(A42="","",G42-H42)</x:f>
      </x:c>
      <x:c r="M42" s="90" t="str">
        <x:f>IF(A42="","",G42-I42)</x:f>
      </x:c>
      <x:c r="N42" s="90" t="str">
        <x:f>IF(A42="","",G42-J42)</x:f>
      </x:c>
      <x:c r="O42" s="90" t="str">
        <x:f>IF(A42="","",G42-K42)</x:f>
      </x:c>
      <x:c r="P42" s="97" t="str">
        <x:f>IF(A42="","",IF(G42=0,0,K42/G42))</x:f>
      </x:c>
      <x:c r="Q42" s="86" t="str">
        <x:f>IF(A42="","",IF(L42&lt;0,"세부계획 초과",IF(M42&lt;0,"전망 초과",IF(N42&lt;0,"실구매 초과",IF(O42&lt;0,"집행 초과",IF(K42&gt;0,"집행중","미집행"))))))</x:f>
      </x:c>
      <x:c r="R42" s="96"/>
      <x:c r="S42" s="96"/>
    </x:row>
    <x:row r="43" ht="24" customHeight="1">
      <x:c r="A43" s="85"/>
      <x:c r="B43" s="85"/>
      <x:c r="C43" s="85"/>
      <x:c r="D43" s="85"/>
      <x:c r="E43" s="89"/>
      <x:c r="F43" s="88"/>
      <x:c r="G43" s="89"/>
      <x:c r="H43" s="90" t="str">
        <x:f>IF(A43="","",SUMIF('01_구매비용원장'!$F$7:$F$156,A43,'01_구매비용원장'!$R$7:$R$156))</x:f>
      </x:c>
      <x:c r="I43" s="90" t="str">
        <x:f>IF(A43="","",SUMIF('01_구매비용원장'!$F$7:$F$156,A43,'01_구매비용원장'!$AB$7:$AB$156))</x:f>
      </x:c>
      <x:c r="J43" s="90" t="str">
        <x:f>IF(A43="","",SUMIF('01_구매비용원장'!$F$7:$F$156,A43,'01_구매비용원장'!$Y$7:$Y$156))</x:f>
      </x:c>
      <x:c r="K43" s="90" t="str">
        <x:f>IF(A43="","",SUMIF('01_구매비용원장'!$F$7:$F$156,A43,'01_구매비용원장'!$AF$7:$AF$156))</x:f>
      </x:c>
      <x:c r="L43" s="90" t="str">
        <x:f>IF(A43="","",G43-H43)</x:f>
      </x:c>
      <x:c r="M43" s="90" t="str">
        <x:f>IF(A43="","",G43-I43)</x:f>
      </x:c>
      <x:c r="N43" s="90" t="str">
        <x:f>IF(A43="","",G43-J43)</x:f>
      </x:c>
      <x:c r="O43" s="90" t="str">
        <x:f>IF(A43="","",G43-K43)</x:f>
      </x:c>
      <x:c r="P43" s="97" t="str">
        <x:f>IF(A43="","",IF(G43=0,0,K43/G43))</x:f>
      </x:c>
      <x:c r="Q43" s="86" t="str">
        <x:f>IF(A43="","",IF(L43&lt;0,"세부계획 초과",IF(M43&lt;0,"전망 초과",IF(N43&lt;0,"실구매 초과",IF(O43&lt;0,"집행 초과",IF(K43&gt;0,"집행중","미집행"))))))</x:f>
      </x:c>
      <x:c r="R43" s="96"/>
      <x:c r="S43" s="96"/>
    </x:row>
    <x:row r="44" ht="24" customHeight="1">
      <x:c r="A44" s="85"/>
      <x:c r="B44" s="85"/>
      <x:c r="C44" s="85"/>
      <x:c r="D44" s="85"/>
      <x:c r="E44" s="89"/>
      <x:c r="F44" s="88"/>
      <x:c r="G44" s="89"/>
      <x:c r="H44" s="90" t="str">
        <x:f>IF(A44="","",SUMIF('01_구매비용원장'!$F$7:$F$156,A44,'01_구매비용원장'!$R$7:$R$156))</x:f>
      </x:c>
      <x:c r="I44" s="90" t="str">
        <x:f>IF(A44="","",SUMIF('01_구매비용원장'!$F$7:$F$156,A44,'01_구매비용원장'!$AB$7:$AB$156))</x:f>
      </x:c>
      <x:c r="J44" s="90" t="str">
        <x:f>IF(A44="","",SUMIF('01_구매비용원장'!$F$7:$F$156,A44,'01_구매비용원장'!$Y$7:$Y$156))</x:f>
      </x:c>
      <x:c r="K44" s="90" t="str">
        <x:f>IF(A44="","",SUMIF('01_구매비용원장'!$F$7:$F$156,A44,'01_구매비용원장'!$AF$7:$AF$156))</x:f>
      </x:c>
      <x:c r="L44" s="90" t="str">
        <x:f>IF(A44="","",G44-H44)</x:f>
      </x:c>
      <x:c r="M44" s="90" t="str">
        <x:f>IF(A44="","",G44-I44)</x:f>
      </x:c>
      <x:c r="N44" s="90" t="str">
        <x:f>IF(A44="","",G44-J44)</x:f>
      </x:c>
      <x:c r="O44" s="90" t="str">
        <x:f>IF(A44="","",G44-K44)</x:f>
      </x:c>
      <x:c r="P44" s="97" t="str">
        <x:f>IF(A44="","",IF(G44=0,0,K44/G44))</x:f>
      </x:c>
      <x:c r="Q44" s="86" t="str">
        <x:f>IF(A44="","",IF(L44&lt;0,"세부계획 초과",IF(M44&lt;0,"전망 초과",IF(N44&lt;0,"실구매 초과",IF(O44&lt;0,"집행 초과",IF(K44&gt;0,"집행중","미집행"))))))</x:f>
      </x:c>
      <x:c r="R44" s="96"/>
      <x:c r="S44" s="96"/>
    </x:row>
    <x:row r="45" ht="24" customHeight="1">
      <x:c r="A45" s="85"/>
      <x:c r="B45" s="85"/>
      <x:c r="C45" s="85"/>
      <x:c r="D45" s="85"/>
      <x:c r="E45" s="89"/>
      <x:c r="F45" s="88"/>
      <x:c r="G45" s="89"/>
      <x:c r="H45" s="90" t="str">
        <x:f>IF(A45="","",SUMIF('01_구매비용원장'!$F$7:$F$156,A45,'01_구매비용원장'!$R$7:$R$156))</x:f>
      </x:c>
      <x:c r="I45" s="90" t="str">
        <x:f>IF(A45="","",SUMIF('01_구매비용원장'!$F$7:$F$156,A45,'01_구매비용원장'!$AB$7:$AB$156))</x:f>
      </x:c>
      <x:c r="J45" s="90" t="str">
        <x:f>IF(A45="","",SUMIF('01_구매비용원장'!$F$7:$F$156,A45,'01_구매비용원장'!$Y$7:$Y$156))</x:f>
      </x:c>
      <x:c r="K45" s="90" t="str">
        <x:f>IF(A45="","",SUMIF('01_구매비용원장'!$F$7:$F$156,A45,'01_구매비용원장'!$AF$7:$AF$156))</x:f>
      </x:c>
      <x:c r="L45" s="90" t="str">
        <x:f>IF(A45="","",G45-H45)</x:f>
      </x:c>
      <x:c r="M45" s="90" t="str">
        <x:f>IF(A45="","",G45-I45)</x:f>
      </x:c>
      <x:c r="N45" s="90" t="str">
        <x:f>IF(A45="","",G45-J45)</x:f>
      </x:c>
      <x:c r="O45" s="90" t="str">
        <x:f>IF(A45="","",G45-K45)</x:f>
      </x:c>
      <x:c r="P45" s="97" t="str">
        <x:f>IF(A45="","",IF(G45=0,0,K45/G45))</x:f>
      </x:c>
      <x:c r="Q45" s="86" t="str">
        <x:f>IF(A45="","",IF(L45&lt;0,"세부계획 초과",IF(M45&lt;0,"전망 초과",IF(N45&lt;0,"실구매 초과",IF(O45&lt;0,"집행 초과",IF(K45&gt;0,"집행중","미집행"))))))</x:f>
      </x:c>
      <x:c r="R45" s="96"/>
      <x:c r="S45" s="96"/>
    </x:row>
    <x:row r="46" ht="24" customHeight="1">
      <x:c r="A46" s="85"/>
      <x:c r="B46" s="85"/>
      <x:c r="C46" s="85"/>
      <x:c r="D46" s="85"/>
      <x:c r="E46" s="89"/>
      <x:c r="F46" s="88"/>
      <x:c r="G46" s="89"/>
      <x:c r="H46" s="90" t="str">
        <x:f>IF(A46="","",SUMIF('01_구매비용원장'!$F$7:$F$156,A46,'01_구매비용원장'!$R$7:$R$156))</x:f>
      </x:c>
      <x:c r="I46" s="90" t="str">
        <x:f>IF(A46="","",SUMIF('01_구매비용원장'!$F$7:$F$156,A46,'01_구매비용원장'!$AB$7:$AB$156))</x:f>
      </x:c>
      <x:c r="J46" s="90" t="str">
        <x:f>IF(A46="","",SUMIF('01_구매비용원장'!$F$7:$F$156,A46,'01_구매비용원장'!$Y$7:$Y$156))</x:f>
      </x:c>
      <x:c r="K46" s="90" t="str">
        <x:f>IF(A46="","",SUMIF('01_구매비용원장'!$F$7:$F$156,A46,'01_구매비용원장'!$AF$7:$AF$156))</x:f>
      </x:c>
      <x:c r="L46" s="90" t="str">
        <x:f>IF(A46="","",G46-H46)</x:f>
      </x:c>
      <x:c r="M46" s="90" t="str">
        <x:f>IF(A46="","",G46-I46)</x:f>
      </x:c>
      <x:c r="N46" s="90" t="str">
        <x:f>IF(A46="","",G46-J46)</x:f>
      </x:c>
      <x:c r="O46" s="90" t="str">
        <x:f>IF(A46="","",G46-K46)</x:f>
      </x:c>
      <x:c r="P46" s="97" t="str">
        <x:f>IF(A46="","",IF(G46=0,0,K46/G46))</x:f>
      </x:c>
      <x:c r="Q46" s="86" t="str">
        <x:f>IF(A46="","",IF(L46&lt;0,"세부계획 초과",IF(M46&lt;0,"전망 초과",IF(N46&lt;0,"실구매 초과",IF(O46&lt;0,"집행 초과",IF(K46&gt;0,"집행중","미집행"))))))</x:f>
      </x:c>
      <x:c r="R46" s="96"/>
      <x:c r="S46" s="96"/>
    </x:row>
    <x:row r="47" ht="24" customHeight="1">
      <x:c r="A47" s="85"/>
      <x:c r="B47" s="85"/>
      <x:c r="C47" s="85"/>
      <x:c r="D47" s="85"/>
      <x:c r="E47" s="89"/>
      <x:c r="F47" s="88"/>
      <x:c r="G47" s="89"/>
      <x:c r="H47" s="90" t="str">
        <x:f>IF(A47="","",SUMIF('01_구매비용원장'!$F$7:$F$156,A47,'01_구매비용원장'!$R$7:$R$156))</x:f>
      </x:c>
      <x:c r="I47" s="90" t="str">
        <x:f>IF(A47="","",SUMIF('01_구매비용원장'!$F$7:$F$156,A47,'01_구매비용원장'!$AB$7:$AB$156))</x:f>
      </x:c>
      <x:c r="J47" s="90" t="str">
        <x:f>IF(A47="","",SUMIF('01_구매비용원장'!$F$7:$F$156,A47,'01_구매비용원장'!$Y$7:$Y$156))</x:f>
      </x:c>
      <x:c r="K47" s="90" t="str">
        <x:f>IF(A47="","",SUMIF('01_구매비용원장'!$F$7:$F$156,A47,'01_구매비용원장'!$AF$7:$AF$156))</x:f>
      </x:c>
      <x:c r="L47" s="90" t="str">
        <x:f>IF(A47="","",G47-H47)</x:f>
      </x:c>
      <x:c r="M47" s="90" t="str">
        <x:f>IF(A47="","",G47-I47)</x:f>
      </x:c>
      <x:c r="N47" s="90" t="str">
        <x:f>IF(A47="","",G47-J47)</x:f>
      </x:c>
      <x:c r="O47" s="90" t="str">
        <x:f>IF(A47="","",G47-K47)</x:f>
      </x:c>
      <x:c r="P47" s="97" t="str">
        <x:f>IF(A47="","",IF(G47=0,0,K47/G47))</x:f>
      </x:c>
      <x:c r="Q47" s="86" t="str">
        <x:f>IF(A47="","",IF(L47&lt;0,"세부계획 초과",IF(M47&lt;0,"전망 초과",IF(N47&lt;0,"실구매 초과",IF(O47&lt;0,"집행 초과",IF(K47&gt;0,"집행중","미집행"))))))</x:f>
      </x:c>
      <x:c r="R47" s="96"/>
      <x:c r="S47" s="96"/>
    </x:row>
    <x:row r="48" ht="24" customHeight="1">
      <x:c r="A48" s="85"/>
      <x:c r="B48" s="85"/>
      <x:c r="C48" s="85"/>
      <x:c r="D48" s="85"/>
      <x:c r="E48" s="89"/>
      <x:c r="F48" s="88"/>
      <x:c r="G48" s="89"/>
      <x:c r="H48" s="90" t="str">
        <x:f>IF(A48="","",SUMIF('01_구매비용원장'!$F$7:$F$156,A48,'01_구매비용원장'!$R$7:$R$156))</x:f>
      </x:c>
      <x:c r="I48" s="90" t="str">
        <x:f>IF(A48="","",SUMIF('01_구매비용원장'!$F$7:$F$156,A48,'01_구매비용원장'!$AB$7:$AB$156))</x:f>
      </x:c>
      <x:c r="J48" s="90" t="str">
        <x:f>IF(A48="","",SUMIF('01_구매비용원장'!$F$7:$F$156,A48,'01_구매비용원장'!$Y$7:$Y$156))</x:f>
      </x:c>
      <x:c r="K48" s="90" t="str">
        <x:f>IF(A48="","",SUMIF('01_구매비용원장'!$F$7:$F$156,A48,'01_구매비용원장'!$AF$7:$AF$156))</x:f>
      </x:c>
      <x:c r="L48" s="90" t="str">
        <x:f>IF(A48="","",G48-H48)</x:f>
      </x:c>
      <x:c r="M48" s="90" t="str">
        <x:f>IF(A48="","",G48-I48)</x:f>
      </x:c>
      <x:c r="N48" s="90" t="str">
        <x:f>IF(A48="","",G48-J48)</x:f>
      </x:c>
      <x:c r="O48" s="90" t="str">
        <x:f>IF(A48="","",G48-K48)</x:f>
      </x:c>
      <x:c r="P48" s="97" t="str">
        <x:f>IF(A48="","",IF(G48=0,0,K48/G48))</x:f>
      </x:c>
      <x:c r="Q48" s="86" t="str">
        <x:f>IF(A48="","",IF(L48&lt;0,"세부계획 초과",IF(M48&lt;0,"전망 초과",IF(N48&lt;0,"실구매 초과",IF(O48&lt;0,"집행 초과",IF(K48&gt;0,"집행중","미집행"))))))</x:f>
      </x:c>
      <x:c r="R48" s="96"/>
      <x:c r="S48" s="96"/>
    </x:row>
    <x:row r="49" ht="24" customHeight="1">
      <x:c r="A49" s="85"/>
      <x:c r="B49" s="85"/>
      <x:c r="C49" s="85"/>
      <x:c r="D49" s="85"/>
      <x:c r="E49" s="89"/>
      <x:c r="F49" s="88"/>
      <x:c r="G49" s="89"/>
      <x:c r="H49" s="90" t="str">
        <x:f>IF(A49="","",SUMIF('01_구매비용원장'!$F$7:$F$156,A49,'01_구매비용원장'!$R$7:$R$156))</x:f>
      </x:c>
      <x:c r="I49" s="90" t="str">
        <x:f>IF(A49="","",SUMIF('01_구매비용원장'!$F$7:$F$156,A49,'01_구매비용원장'!$AB$7:$AB$156))</x:f>
      </x:c>
      <x:c r="J49" s="90" t="str">
        <x:f>IF(A49="","",SUMIF('01_구매비용원장'!$F$7:$F$156,A49,'01_구매비용원장'!$Y$7:$Y$156))</x:f>
      </x:c>
      <x:c r="K49" s="90" t="str">
        <x:f>IF(A49="","",SUMIF('01_구매비용원장'!$F$7:$F$156,A49,'01_구매비용원장'!$AF$7:$AF$156))</x:f>
      </x:c>
      <x:c r="L49" s="90" t="str">
        <x:f>IF(A49="","",G49-H49)</x:f>
      </x:c>
      <x:c r="M49" s="90" t="str">
        <x:f>IF(A49="","",G49-I49)</x:f>
      </x:c>
      <x:c r="N49" s="90" t="str">
        <x:f>IF(A49="","",G49-J49)</x:f>
      </x:c>
      <x:c r="O49" s="90" t="str">
        <x:f>IF(A49="","",G49-K49)</x:f>
      </x:c>
      <x:c r="P49" s="97" t="str">
        <x:f>IF(A49="","",IF(G49=0,0,K49/G49))</x:f>
      </x:c>
      <x:c r="Q49" s="86" t="str">
        <x:f>IF(A49="","",IF(L49&lt;0,"세부계획 초과",IF(M49&lt;0,"전망 초과",IF(N49&lt;0,"실구매 초과",IF(O49&lt;0,"집행 초과",IF(K49&gt;0,"집행중","미집행"))))))</x:f>
      </x:c>
      <x:c r="R49" s="96"/>
      <x:c r="S49" s="96"/>
    </x:row>
    <x:row r="50" ht="24" customHeight="1">
      <x:c r="A50" s="85"/>
      <x:c r="B50" s="85"/>
      <x:c r="C50" s="85"/>
      <x:c r="D50" s="85"/>
      <x:c r="E50" s="89"/>
      <x:c r="F50" s="88"/>
      <x:c r="G50" s="89"/>
      <x:c r="H50" s="90" t="str">
        <x:f>IF(A50="","",SUMIF('01_구매비용원장'!$F$7:$F$156,A50,'01_구매비용원장'!$R$7:$R$156))</x:f>
      </x:c>
      <x:c r="I50" s="90" t="str">
        <x:f>IF(A50="","",SUMIF('01_구매비용원장'!$F$7:$F$156,A50,'01_구매비용원장'!$AB$7:$AB$156))</x:f>
      </x:c>
      <x:c r="J50" s="90" t="str">
        <x:f>IF(A50="","",SUMIF('01_구매비용원장'!$F$7:$F$156,A50,'01_구매비용원장'!$Y$7:$Y$156))</x:f>
      </x:c>
      <x:c r="K50" s="90" t="str">
        <x:f>IF(A50="","",SUMIF('01_구매비용원장'!$F$7:$F$156,A50,'01_구매비용원장'!$AF$7:$AF$156))</x:f>
      </x:c>
      <x:c r="L50" s="90" t="str">
        <x:f>IF(A50="","",G50-H50)</x:f>
      </x:c>
      <x:c r="M50" s="90" t="str">
        <x:f>IF(A50="","",G50-I50)</x:f>
      </x:c>
      <x:c r="N50" s="90" t="str">
        <x:f>IF(A50="","",G50-J50)</x:f>
      </x:c>
      <x:c r="O50" s="90" t="str">
        <x:f>IF(A50="","",G50-K50)</x:f>
      </x:c>
      <x:c r="P50" s="97" t="str">
        <x:f>IF(A50="","",IF(G50=0,0,K50/G50))</x:f>
      </x:c>
      <x:c r="Q50" s="86" t="str">
        <x:f>IF(A50="","",IF(L50&lt;0,"세부계획 초과",IF(M50&lt;0,"전망 초과",IF(N50&lt;0,"실구매 초과",IF(O50&lt;0,"집행 초과",IF(K50&gt;0,"집행중","미집행"))))))</x:f>
      </x:c>
      <x:c r="R50" s="96"/>
      <x:c r="S50" s="96"/>
    </x:row>
    <x:row r="51" ht="24" customHeight="1">
      <x:c r="A51" s="85"/>
      <x:c r="B51" s="85"/>
      <x:c r="C51" s="85"/>
      <x:c r="D51" s="85"/>
      <x:c r="E51" s="89"/>
      <x:c r="F51" s="88"/>
      <x:c r="G51" s="89"/>
      <x:c r="H51" s="90" t="str">
        <x:f>IF(A51="","",SUMIF('01_구매비용원장'!$F$7:$F$156,A51,'01_구매비용원장'!$R$7:$R$156))</x:f>
      </x:c>
      <x:c r="I51" s="90" t="str">
        <x:f>IF(A51="","",SUMIF('01_구매비용원장'!$F$7:$F$156,A51,'01_구매비용원장'!$AB$7:$AB$156))</x:f>
      </x:c>
      <x:c r="J51" s="90" t="str">
        <x:f>IF(A51="","",SUMIF('01_구매비용원장'!$F$7:$F$156,A51,'01_구매비용원장'!$Y$7:$Y$156))</x:f>
      </x:c>
      <x:c r="K51" s="90" t="str">
        <x:f>IF(A51="","",SUMIF('01_구매비용원장'!$F$7:$F$156,A51,'01_구매비용원장'!$AF$7:$AF$156))</x:f>
      </x:c>
      <x:c r="L51" s="90" t="str">
        <x:f>IF(A51="","",G51-H51)</x:f>
      </x:c>
      <x:c r="M51" s="90" t="str">
        <x:f>IF(A51="","",G51-I51)</x:f>
      </x:c>
      <x:c r="N51" s="90" t="str">
        <x:f>IF(A51="","",G51-J51)</x:f>
      </x:c>
      <x:c r="O51" s="90" t="str">
        <x:f>IF(A51="","",G51-K51)</x:f>
      </x:c>
      <x:c r="P51" s="97" t="str">
        <x:f>IF(A51="","",IF(G51=0,0,K51/G51))</x:f>
      </x:c>
      <x:c r="Q51" s="86" t="str">
        <x:f>IF(A51="","",IF(L51&lt;0,"세부계획 초과",IF(M51&lt;0,"전망 초과",IF(N51&lt;0,"실구매 초과",IF(O51&lt;0,"집행 초과",IF(K51&gt;0,"집행중","미집행"))))))</x:f>
      </x:c>
      <x:c r="R51" s="96"/>
      <x:c r="S51" s="96"/>
    </x:row>
    <x:row r="52" ht="24" customHeight="1">
      <x:c r="A52" s="85"/>
      <x:c r="B52" s="85"/>
      <x:c r="C52" s="85"/>
      <x:c r="D52" s="85"/>
      <x:c r="E52" s="89"/>
      <x:c r="F52" s="88"/>
      <x:c r="G52" s="89"/>
      <x:c r="H52" s="90" t="str">
        <x:f>IF(A52="","",SUMIF('01_구매비용원장'!$F$7:$F$156,A52,'01_구매비용원장'!$R$7:$R$156))</x:f>
      </x:c>
      <x:c r="I52" s="90" t="str">
        <x:f>IF(A52="","",SUMIF('01_구매비용원장'!$F$7:$F$156,A52,'01_구매비용원장'!$AB$7:$AB$156))</x:f>
      </x:c>
      <x:c r="J52" s="90" t="str">
        <x:f>IF(A52="","",SUMIF('01_구매비용원장'!$F$7:$F$156,A52,'01_구매비용원장'!$Y$7:$Y$156))</x:f>
      </x:c>
      <x:c r="K52" s="90" t="str">
        <x:f>IF(A52="","",SUMIF('01_구매비용원장'!$F$7:$F$156,A52,'01_구매비용원장'!$AF$7:$AF$156))</x:f>
      </x:c>
      <x:c r="L52" s="90" t="str">
        <x:f>IF(A52="","",G52-H52)</x:f>
      </x:c>
      <x:c r="M52" s="90" t="str">
        <x:f>IF(A52="","",G52-I52)</x:f>
      </x:c>
      <x:c r="N52" s="90" t="str">
        <x:f>IF(A52="","",G52-J52)</x:f>
      </x:c>
      <x:c r="O52" s="90" t="str">
        <x:f>IF(A52="","",G52-K52)</x:f>
      </x:c>
      <x:c r="P52" s="97" t="str">
        <x:f>IF(A52="","",IF(G52=0,0,K52/G52))</x:f>
      </x:c>
      <x:c r="Q52" s="86" t="str">
        <x:f>IF(A52="","",IF(L52&lt;0,"세부계획 초과",IF(M52&lt;0,"전망 초과",IF(N52&lt;0,"실구매 초과",IF(O52&lt;0,"집행 초과",IF(K52&gt;0,"집행중","미집행"))))))</x:f>
      </x:c>
      <x:c r="R52" s="96"/>
      <x:c r="S52" s="96"/>
    </x:row>
    <x:row r="53" ht="24" customHeight="1">
      <x:c r="A53" s="85"/>
      <x:c r="B53" s="85"/>
      <x:c r="C53" s="85"/>
      <x:c r="D53" s="85"/>
      <x:c r="E53" s="89"/>
      <x:c r="F53" s="88"/>
      <x:c r="G53" s="89"/>
      <x:c r="H53" s="90" t="str">
        <x:f>IF(A53="","",SUMIF('01_구매비용원장'!$F$7:$F$156,A53,'01_구매비용원장'!$R$7:$R$156))</x:f>
      </x:c>
      <x:c r="I53" s="90" t="str">
        <x:f>IF(A53="","",SUMIF('01_구매비용원장'!$F$7:$F$156,A53,'01_구매비용원장'!$AB$7:$AB$156))</x:f>
      </x:c>
      <x:c r="J53" s="90" t="str">
        <x:f>IF(A53="","",SUMIF('01_구매비용원장'!$F$7:$F$156,A53,'01_구매비용원장'!$Y$7:$Y$156))</x:f>
      </x:c>
      <x:c r="K53" s="90" t="str">
        <x:f>IF(A53="","",SUMIF('01_구매비용원장'!$F$7:$F$156,A53,'01_구매비용원장'!$AF$7:$AF$156))</x:f>
      </x:c>
      <x:c r="L53" s="90" t="str">
        <x:f>IF(A53="","",G53-H53)</x:f>
      </x:c>
      <x:c r="M53" s="90" t="str">
        <x:f>IF(A53="","",G53-I53)</x:f>
      </x:c>
      <x:c r="N53" s="90" t="str">
        <x:f>IF(A53="","",G53-J53)</x:f>
      </x:c>
      <x:c r="O53" s="90" t="str">
        <x:f>IF(A53="","",G53-K53)</x:f>
      </x:c>
      <x:c r="P53" s="97" t="str">
        <x:f>IF(A53="","",IF(G53=0,0,K53/G53))</x:f>
      </x:c>
      <x:c r="Q53" s="86" t="str">
        <x:f>IF(A53="","",IF(L53&lt;0,"세부계획 초과",IF(M53&lt;0,"전망 초과",IF(N53&lt;0,"실구매 초과",IF(O53&lt;0,"집행 초과",IF(K53&gt;0,"집행중","미집행"))))))</x:f>
      </x:c>
      <x:c r="R53" s="96"/>
      <x:c r="S53" s="96"/>
    </x:row>
    <x:row r="54" ht="24" customHeight="1">
      <x:c r="A54" s="85"/>
      <x:c r="B54" s="85"/>
      <x:c r="C54" s="85"/>
      <x:c r="D54" s="85"/>
      <x:c r="E54" s="89"/>
      <x:c r="F54" s="88"/>
      <x:c r="G54" s="89"/>
      <x:c r="H54" s="90" t="str">
        <x:f>IF(A54="","",SUMIF('01_구매비용원장'!$F$7:$F$156,A54,'01_구매비용원장'!$R$7:$R$156))</x:f>
      </x:c>
      <x:c r="I54" s="90" t="str">
        <x:f>IF(A54="","",SUMIF('01_구매비용원장'!$F$7:$F$156,A54,'01_구매비용원장'!$AB$7:$AB$156))</x:f>
      </x:c>
      <x:c r="J54" s="90" t="str">
        <x:f>IF(A54="","",SUMIF('01_구매비용원장'!$F$7:$F$156,A54,'01_구매비용원장'!$Y$7:$Y$156))</x:f>
      </x:c>
      <x:c r="K54" s="90" t="str">
        <x:f>IF(A54="","",SUMIF('01_구매비용원장'!$F$7:$F$156,A54,'01_구매비용원장'!$AF$7:$AF$156))</x:f>
      </x:c>
      <x:c r="L54" s="90" t="str">
        <x:f>IF(A54="","",G54-H54)</x:f>
      </x:c>
      <x:c r="M54" s="90" t="str">
        <x:f>IF(A54="","",G54-I54)</x:f>
      </x:c>
      <x:c r="N54" s="90" t="str">
        <x:f>IF(A54="","",G54-J54)</x:f>
      </x:c>
      <x:c r="O54" s="90" t="str">
        <x:f>IF(A54="","",G54-K54)</x:f>
      </x:c>
      <x:c r="P54" s="97" t="str">
        <x:f>IF(A54="","",IF(G54=0,0,K54/G54))</x:f>
      </x:c>
      <x:c r="Q54" s="86" t="str">
        <x:f>IF(A54="","",IF(L54&lt;0,"세부계획 초과",IF(M54&lt;0,"전망 초과",IF(N54&lt;0,"실구매 초과",IF(O54&lt;0,"집행 초과",IF(K54&gt;0,"집행중","미집행"))))))</x:f>
      </x:c>
      <x:c r="R54" s="96"/>
      <x:c r="S54" s="96"/>
    </x:row>
    <x:row r="55" ht="24" customHeight="1">
      <x:c r="A55" s="85"/>
      <x:c r="B55" s="85"/>
      <x:c r="C55" s="85"/>
      <x:c r="D55" s="85"/>
      <x:c r="E55" s="89"/>
      <x:c r="F55" s="88"/>
      <x:c r="G55" s="89"/>
      <x:c r="H55" s="90" t="str">
        <x:f>IF(A55="","",SUMIF('01_구매비용원장'!$F$7:$F$156,A55,'01_구매비용원장'!$R$7:$R$156))</x:f>
      </x:c>
      <x:c r="I55" s="90" t="str">
        <x:f>IF(A55="","",SUMIF('01_구매비용원장'!$F$7:$F$156,A55,'01_구매비용원장'!$AB$7:$AB$156))</x:f>
      </x:c>
      <x:c r="J55" s="90" t="str">
        <x:f>IF(A55="","",SUMIF('01_구매비용원장'!$F$7:$F$156,A55,'01_구매비용원장'!$Y$7:$Y$156))</x:f>
      </x:c>
      <x:c r="K55" s="90" t="str">
        <x:f>IF(A55="","",SUMIF('01_구매비용원장'!$F$7:$F$156,A55,'01_구매비용원장'!$AF$7:$AF$156))</x:f>
      </x:c>
      <x:c r="L55" s="90" t="str">
        <x:f>IF(A55="","",G55-H55)</x:f>
      </x:c>
      <x:c r="M55" s="90" t="str">
        <x:f>IF(A55="","",G55-I55)</x:f>
      </x:c>
      <x:c r="N55" s="90" t="str">
        <x:f>IF(A55="","",G55-J55)</x:f>
      </x:c>
      <x:c r="O55" s="90" t="str">
        <x:f>IF(A55="","",G55-K55)</x:f>
      </x:c>
      <x:c r="P55" s="97" t="str">
        <x:f>IF(A55="","",IF(G55=0,0,K55/G55))</x:f>
      </x:c>
      <x:c r="Q55" s="86" t="str">
        <x:f>IF(A55="","",IF(L55&lt;0,"세부계획 초과",IF(M55&lt;0,"전망 초과",IF(N55&lt;0,"실구매 초과",IF(O55&lt;0,"집행 초과",IF(K55&gt;0,"집행중","미집행"))))))</x:f>
      </x:c>
      <x:c r="R55" s="96"/>
      <x:c r="S55" s="96"/>
    </x:row>
    <x:row r="56" ht="24" customHeight="1">
      <x:c r="A56" s="85"/>
      <x:c r="B56" s="85"/>
      <x:c r="C56" s="85"/>
      <x:c r="D56" s="85"/>
      <x:c r="E56" s="89"/>
      <x:c r="F56" s="88"/>
      <x:c r="G56" s="89"/>
      <x:c r="H56" s="90" t="str">
        <x:f>IF(A56="","",SUMIF('01_구매비용원장'!$F$7:$F$156,A56,'01_구매비용원장'!$R$7:$R$156))</x:f>
      </x:c>
      <x:c r="I56" s="90" t="str">
        <x:f>IF(A56="","",SUMIF('01_구매비용원장'!$F$7:$F$156,A56,'01_구매비용원장'!$AB$7:$AB$156))</x:f>
      </x:c>
      <x:c r="J56" s="90" t="str">
        <x:f>IF(A56="","",SUMIF('01_구매비용원장'!$F$7:$F$156,A56,'01_구매비용원장'!$Y$7:$Y$156))</x:f>
      </x:c>
      <x:c r="K56" s="90" t="str">
        <x:f>IF(A56="","",SUMIF('01_구매비용원장'!$F$7:$F$156,A56,'01_구매비용원장'!$AF$7:$AF$156))</x:f>
      </x:c>
      <x:c r="L56" s="90" t="str">
        <x:f>IF(A56="","",G56-H56)</x:f>
      </x:c>
      <x:c r="M56" s="90" t="str">
        <x:f>IF(A56="","",G56-I56)</x:f>
      </x:c>
      <x:c r="N56" s="90" t="str">
        <x:f>IF(A56="","",G56-J56)</x:f>
      </x:c>
      <x:c r="O56" s="90" t="str">
        <x:f>IF(A56="","",G56-K56)</x:f>
      </x:c>
      <x:c r="P56" s="97" t="str">
        <x:f>IF(A56="","",IF(G56=0,0,K56/G56))</x:f>
      </x:c>
      <x:c r="Q56" s="86" t="str">
        <x:f>IF(A56="","",IF(L56&lt;0,"세부계획 초과",IF(M56&lt;0,"전망 초과",IF(N56&lt;0,"실구매 초과",IF(O56&lt;0,"집행 초과",IF(K56&gt;0,"집행중","미집행"))))))</x:f>
      </x:c>
      <x:c r="R56" s="96"/>
      <x:c r="S56" s="96"/>
    </x:row>
    <x:row r="57" ht="24" customHeight="1">
      <x:c r="A57" s="85"/>
      <x:c r="B57" s="85"/>
      <x:c r="C57" s="85"/>
      <x:c r="D57" s="85"/>
      <x:c r="E57" s="89"/>
      <x:c r="F57" s="88"/>
      <x:c r="G57" s="89"/>
      <x:c r="H57" s="90" t="str">
        <x:f>IF(A57="","",SUMIF('01_구매비용원장'!$F$7:$F$156,A57,'01_구매비용원장'!$R$7:$R$156))</x:f>
      </x:c>
      <x:c r="I57" s="90" t="str">
        <x:f>IF(A57="","",SUMIF('01_구매비용원장'!$F$7:$F$156,A57,'01_구매비용원장'!$AB$7:$AB$156))</x:f>
      </x:c>
      <x:c r="J57" s="90" t="str">
        <x:f>IF(A57="","",SUMIF('01_구매비용원장'!$F$7:$F$156,A57,'01_구매비용원장'!$Y$7:$Y$156))</x:f>
      </x:c>
      <x:c r="K57" s="90" t="str">
        <x:f>IF(A57="","",SUMIF('01_구매비용원장'!$F$7:$F$156,A57,'01_구매비용원장'!$AF$7:$AF$156))</x:f>
      </x:c>
      <x:c r="L57" s="90" t="str">
        <x:f>IF(A57="","",G57-H57)</x:f>
      </x:c>
      <x:c r="M57" s="90" t="str">
        <x:f>IF(A57="","",G57-I57)</x:f>
      </x:c>
      <x:c r="N57" s="90" t="str">
        <x:f>IF(A57="","",G57-J57)</x:f>
      </x:c>
      <x:c r="O57" s="90" t="str">
        <x:f>IF(A57="","",G57-K57)</x:f>
      </x:c>
      <x:c r="P57" s="97" t="str">
        <x:f>IF(A57="","",IF(G57=0,0,K57/G57))</x:f>
      </x:c>
      <x:c r="Q57" s="86" t="str">
        <x:f>IF(A57="","",IF(L57&lt;0,"세부계획 초과",IF(M57&lt;0,"전망 초과",IF(N57&lt;0,"실구매 초과",IF(O57&lt;0,"집행 초과",IF(K57&gt;0,"집행중","미집행"))))))</x:f>
      </x:c>
      <x:c r="R57" s="96"/>
      <x:c r="S57" s="96"/>
    </x:row>
    <x:row r="58" ht="24" customHeight="1">
      <x:c r="A58" s="85"/>
      <x:c r="B58" s="85"/>
      <x:c r="C58" s="85"/>
      <x:c r="D58" s="85"/>
      <x:c r="E58" s="89"/>
      <x:c r="F58" s="88"/>
      <x:c r="G58" s="89"/>
      <x:c r="H58" s="90" t="str">
        <x:f>IF(A58="","",SUMIF('01_구매비용원장'!$F$7:$F$156,A58,'01_구매비용원장'!$R$7:$R$156))</x:f>
      </x:c>
      <x:c r="I58" s="90" t="str">
        <x:f>IF(A58="","",SUMIF('01_구매비용원장'!$F$7:$F$156,A58,'01_구매비용원장'!$AB$7:$AB$156))</x:f>
      </x:c>
      <x:c r="J58" s="90" t="str">
        <x:f>IF(A58="","",SUMIF('01_구매비용원장'!$F$7:$F$156,A58,'01_구매비용원장'!$Y$7:$Y$156))</x:f>
      </x:c>
      <x:c r="K58" s="90" t="str">
        <x:f>IF(A58="","",SUMIF('01_구매비용원장'!$F$7:$F$156,A58,'01_구매비용원장'!$AF$7:$AF$156))</x:f>
      </x:c>
      <x:c r="L58" s="90" t="str">
        <x:f>IF(A58="","",G58-H58)</x:f>
      </x:c>
      <x:c r="M58" s="90" t="str">
        <x:f>IF(A58="","",G58-I58)</x:f>
      </x:c>
      <x:c r="N58" s="90" t="str">
        <x:f>IF(A58="","",G58-J58)</x:f>
      </x:c>
      <x:c r="O58" s="90" t="str">
        <x:f>IF(A58="","",G58-K58)</x:f>
      </x:c>
      <x:c r="P58" s="97" t="str">
        <x:f>IF(A58="","",IF(G58=0,0,K58/G58))</x:f>
      </x:c>
      <x:c r="Q58" s="86" t="str">
        <x:f>IF(A58="","",IF(L58&lt;0,"세부계획 초과",IF(M58&lt;0,"전망 초과",IF(N58&lt;0,"실구매 초과",IF(O58&lt;0,"집행 초과",IF(K58&gt;0,"집행중","미집행"))))))</x:f>
      </x:c>
      <x:c r="R58" s="96"/>
      <x:c r="S58" s="96"/>
    </x:row>
    <x:row r="59" ht="24" customHeight="1">
      <x:c r="A59" s="85"/>
      <x:c r="B59" s="85"/>
      <x:c r="C59" s="85"/>
      <x:c r="D59" s="85"/>
      <x:c r="E59" s="89"/>
      <x:c r="F59" s="88"/>
      <x:c r="G59" s="89"/>
      <x:c r="H59" s="90" t="str">
        <x:f>IF(A59="","",SUMIF('01_구매비용원장'!$F$7:$F$156,A59,'01_구매비용원장'!$R$7:$R$156))</x:f>
      </x:c>
      <x:c r="I59" s="90" t="str">
        <x:f>IF(A59="","",SUMIF('01_구매비용원장'!$F$7:$F$156,A59,'01_구매비용원장'!$AB$7:$AB$156))</x:f>
      </x:c>
      <x:c r="J59" s="90" t="str">
        <x:f>IF(A59="","",SUMIF('01_구매비용원장'!$F$7:$F$156,A59,'01_구매비용원장'!$Y$7:$Y$156))</x:f>
      </x:c>
      <x:c r="K59" s="90" t="str">
        <x:f>IF(A59="","",SUMIF('01_구매비용원장'!$F$7:$F$156,A59,'01_구매비용원장'!$AF$7:$AF$156))</x:f>
      </x:c>
      <x:c r="L59" s="90" t="str">
        <x:f>IF(A59="","",G59-H59)</x:f>
      </x:c>
      <x:c r="M59" s="90" t="str">
        <x:f>IF(A59="","",G59-I59)</x:f>
      </x:c>
      <x:c r="N59" s="90" t="str">
        <x:f>IF(A59="","",G59-J59)</x:f>
      </x:c>
      <x:c r="O59" s="90" t="str">
        <x:f>IF(A59="","",G59-K59)</x:f>
      </x:c>
      <x:c r="P59" s="97" t="str">
        <x:f>IF(A59="","",IF(G59=0,0,K59/G59))</x:f>
      </x:c>
      <x:c r="Q59" s="86" t="str">
        <x:f>IF(A59="","",IF(L59&lt;0,"세부계획 초과",IF(M59&lt;0,"전망 초과",IF(N59&lt;0,"실구매 초과",IF(O59&lt;0,"집행 초과",IF(K59&gt;0,"집행중","미집행"))))))</x:f>
      </x:c>
      <x:c r="R59" s="96"/>
      <x:c r="S59" s="96"/>
    </x:row>
    <x:row r="60" ht="24" customHeight="1">
      <x:c r="A60" s="85"/>
      <x:c r="B60" s="85"/>
      <x:c r="C60" s="85"/>
      <x:c r="D60" s="85"/>
      <x:c r="E60" s="89"/>
      <x:c r="F60" s="88"/>
      <x:c r="G60" s="89"/>
      <x:c r="H60" s="90" t="str">
        <x:f>IF(A60="","",SUMIF('01_구매비용원장'!$F$7:$F$156,A60,'01_구매비용원장'!$R$7:$R$156))</x:f>
      </x:c>
      <x:c r="I60" s="90" t="str">
        <x:f>IF(A60="","",SUMIF('01_구매비용원장'!$F$7:$F$156,A60,'01_구매비용원장'!$AB$7:$AB$156))</x:f>
      </x:c>
      <x:c r="J60" s="90" t="str">
        <x:f>IF(A60="","",SUMIF('01_구매비용원장'!$F$7:$F$156,A60,'01_구매비용원장'!$Y$7:$Y$156))</x:f>
      </x:c>
      <x:c r="K60" s="90" t="str">
        <x:f>IF(A60="","",SUMIF('01_구매비용원장'!$F$7:$F$156,A60,'01_구매비용원장'!$AF$7:$AF$156))</x:f>
      </x:c>
      <x:c r="L60" s="90" t="str">
        <x:f>IF(A60="","",G60-H60)</x:f>
      </x:c>
      <x:c r="M60" s="90" t="str">
        <x:f>IF(A60="","",G60-I60)</x:f>
      </x:c>
      <x:c r="N60" s="90" t="str">
        <x:f>IF(A60="","",G60-J60)</x:f>
      </x:c>
      <x:c r="O60" s="90" t="str">
        <x:f>IF(A60="","",G60-K60)</x:f>
      </x:c>
      <x:c r="P60" s="97" t="str">
        <x:f>IF(A60="","",IF(G60=0,0,K60/G60))</x:f>
      </x:c>
      <x:c r="Q60" s="86" t="str">
        <x:f>IF(A60="","",IF(L60&lt;0,"세부계획 초과",IF(M60&lt;0,"전망 초과",IF(N60&lt;0,"실구매 초과",IF(O60&lt;0,"집행 초과",IF(K60&gt;0,"집행중","미집행"))))))</x:f>
      </x:c>
      <x:c r="R60" s="96"/>
      <x:c r="S60" s="96"/>
    </x:row>
    <x:row r="61" ht="24" customHeight="1">
      <x:c r="A61" s="85"/>
      <x:c r="B61" s="85"/>
      <x:c r="C61" s="85"/>
      <x:c r="D61" s="85"/>
      <x:c r="E61" s="89"/>
      <x:c r="F61" s="88"/>
      <x:c r="G61" s="89"/>
      <x:c r="H61" s="90" t="str">
        <x:f>IF(A61="","",SUMIF('01_구매비용원장'!$F$7:$F$156,A61,'01_구매비용원장'!$R$7:$R$156))</x:f>
      </x:c>
      <x:c r="I61" s="90" t="str">
        <x:f>IF(A61="","",SUMIF('01_구매비용원장'!$F$7:$F$156,A61,'01_구매비용원장'!$AB$7:$AB$156))</x:f>
      </x:c>
      <x:c r="J61" s="90" t="str">
        <x:f>IF(A61="","",SUMIF('01_구매비용원장'!$F$7:$F$156,A61,'01_구매비용원장'!$Y$7:$Y$156))</x:f>
      </x:c>
      <x:c r="K61" s="90" t="str">
        <x:f>IF(A61="","",SUMIF('01_구매비용원장'!$F$7:$F$156,A61,'01_구매비용원장'!$AF$7:$AF$156))</x:f>
      </x:c>
      <x:c r="L61" s="90" t="str">
        <x:f>IF(A61="","",G61-H61)</x:f>
      </x:c>
      <x:c r="M61" s="90" t="str">
        <x:f>IF(A61="","",G61-I61)</x:f>
      </x:c>
      <x:c r="N61" s="90" t="str">
        <x:f>IF(A61="","",G61-J61)</x:f>
      </x:c>
      <x:c r="O61" s="90" t="str">
        <x:f>IF(A61="","",G61-K61)</x:f>
      </x:c>
      <x:c r="P61" s="97" t="str">
        <x:f>IF(A61="","",IF(G61=0,0,K61/G61))</x:f>
      </x:c>
      <x:c r="Q61" s="86" t="str">
        <x:f>IF(A61="","",IF(L61&lt;0,"세부계획 초과",IF(M61&lt;0,"전망 초과",IF(N61&lt;0,"실구매 초과",IF(O61&lt;0,"집행 초과",IF(K61&gt;0,"집행중","미집행"))))))</x:f>
      </x:c>
      <x:c r="R61" s="96"/>
      <x:c r="S61" s="96"/>
    </x:row>
    <x:row r="62" ht="24" customHeight="1">
      <x:c r="A62" s="85"/>
      <x:c r="B62" s="85"/>
      <x:c r="C62" s="85"/>
      <x:c r="D62" s="85"/>
      <x:c r="E62" s="89"/>
      <x:c r="F62" s="88"/>
      <x:c r="G62" s="89"/>
      <x:c r="H62" s="90" t="str">
        <x:f>IF(A62="","",SUMIF('01_구매비용원장'!$F$7:$F$156,A62,'01_구매비용원장'!$R$7:$R$156))</x:f>
      </x:c>
      <x:c r="I62" s="90" t="str">
        <x:f>IF(A62="","",SUMIF('01_구매비용원장'!$F$7:$F$156,A62,'01_구매비용원장'!$AB$7:$AB$156))</x:f>
      </x:c>
      <x:c r="J62" s="90" t="str">
        <x:f>IF(A62="","",SUMIF('01_구매비용원장'!$F$7:$F$156,A62,'01_구매비용원장'!$Y$7:$Y$156))</x:f>
      </x:c>
      <x:c r="K62" s="90" t="str">
        <x:f>IF(A62="","",SUMIF('01_구매비용원장'!$F$7:$F$156,A62,'01_구매비용원장'!$AF$7:$AF$156))</x:f>
      </x:c>
      <x:c r="L62" s="90" t="str">
        <x:f>IF(A62="","",G62-H62)</x:f>
      </x:c>
      <x:c r="M62" s="90" t="str">
        <x:f>IF(A62="","",G62-I62)</x:f>
      </x:c>
      <x:c r="N62" s="90" t="str">
        <x:f>IF(A62="","",G62-J62)</x:f>
      </x:c>
      <x:c r="O62" s="90" t="str">
        <x:f>IF(A62="","",G62-K62)</x:f>
      </x:c>
      <x:c r="P62" s="97" t="str">
        <x:f>IF(A62="","",IF(G62=0,0,K62/G62))</x:f>
      </x:c>
      <x:c r="Q62" s="86" t="str">
        <x:f>IF(A62="","",IF(L62&lt;0,"세부계획 초과",IF(M62&lt;0,"전망 초과",IF(N62&lt;0,"실구매 초과",IF(O62&lt;0,"집행 초과",IF(K62&gt;0,"집행중","미집행"))))))</x:f>
      </x:c>
      <x:c r="R62" s="96"/>
      <x:c r="S62" s="96"/>
    </x:row>
    <x:row r="63" ht="24" customHeight="1">
      <x:c r="A63" s="85"/>
      <x:c r="B63" s="85"/>
      <x:c r="C63" s="85"/>
      <x:c r="D63" s="85"/>
      <x:c r="E63" s="89"/>
      <x:c r="F63" s="88"/>
      <x:c r="G63" s="89"/>
      <x:c r="H63" s="90" t="str">
        <x:f>IF(A63="","",SUMIF('01_구매비용원장'!$F$7:$F$156,A63,'01_구매비용원장'!$R$7:$R$156))</x:f>
      </x:c>
      <x:c r="I63" s="90" t="str">
        <x:f>IF(A63="","",SUMIF('01_구매비용원장'!$F$7:$F$156,A63,'01_구매비용원장'!$AB$7:$AB$156))</x:f>
      </x:c>
      <x:c r="J63" s="90" t="str">
        <x:f>IF(A63="","",SUMIF('01_구매비용원장'!$F$7:$F$156,A63,'01_구매비용원장'!$Y$7:$Y$156))</x:f>
      </x:c>
      <x:c r="K63" s="90" t="str">
        <x:f>IF(A63="","",SUMIF('01_구매비용원장'!$F$7:$F$156,A63,'01_구매비용원장'!$AF$7:$AF$156))</x:f>
      </x:c>
      <x:c r="L63" s="90" t="str">
        <x:f>IF(A63="","",G63-H63)</x:f>
      </x:c>
      <x:c r="M63" s="90" t="str">
        <x:f>IF(A63="","",G63-I63)</x:f>
      </x:c>
      <x:c r="N63" s="90" t="str">
        <x:f>IF(A63="","",G63-J63)</x:f>
      </x:c>
      <x:c r="O63" s="90" t="str">
        <x:f>IF(A63="","",G63-K63)</x:f>
      </x:c>
      <x:c r="P63" s="97" t="str">
        <x:f>IF(A63="","",IF(G63=0,0,K63/G63))</x:f>
      </x:c>
      <x:c r="Q63" s="86" t="str">
        <x:f>IF(A63="","",IF(L63&lt;0,"세부계획 초과",IF(M63&lt;0,"전망 초과",IF(N63&lt;0,"실구매 초과",IF(O63&lt;0,"집행 초과",IF(K63&gt;0,"집행중","미집행"))))))</x:f>
      </x:c>
      <x:c r="R63" s="96"/>
      <x:c r="S63" s="96"/>
    </x:row>
    <x:row r="64" ht="24" customHeight="1">
      <x:c r="A64" s="85"/>
      <x:c r="B64" s="85"/>
      <x:c r="C64" s="85"/>
      <x:c r="D64" s="85"/>
      <x:c r="E64" s="89"/>
      <x:c r="F64" s="88"/>
      <x:c r="G64" s="89"/>
      <x:c r="H64" s="90" t="str">
        <x:f>IF(A64="","",SUMIF('01_구매비용원장'!$F$7:$F$156,A64,'01_구매비용원장'!$R$7:$R$156))</x:f>
      </x:c>
      <x:c r="I64" s="90" t="str">
        <x:f>IF(A64="","",SUMIF('01_구매비용원장'!$F$7:$F$156,A64,'01_구매비용원장'!$AB$7:$AB$156))</x:f>
      </x:c>
      <x:c r="J64" s="90" t="str">
        <x:f>IF(A64="","",SUMIF('01_구매비용원장'!$F$7:$F$156,A64,'01_구매비용원장'!$Y$7:$Y$156))</x:f>
      </x:c>
      <x:c r="K64" s="90" t="str">
        <x:f>IF(A64="","",SUMIF('01_구매비용원장'!$F$7:$F$156,A64,'01_구매비용원장'!$AF$7:$AF$156))</x:f>
      </x:c>
      <x:c r="L64" s="90" t="str">
        <x:f>IF(A64="","",G64-H64)</x:f>
      </x:c>
      <x:c r="M64" s="90" t="str">
        <x:f>IF(A64="","",G64-I64)</x:f>
      </x:c>
      <x:c r="N64" s="90" t="str">
        <x:f>IF(A64="","",G64-J64)</x:f>
      </x:c>
      <x:c r="O64" s="90" t="str">
        <x:f>IF(A64="","",G64-K64)</x:f>
      </x:c>
      <x:c r="P64" s="97" t="str">
        <x:f>IF(A64="","",IF(G64=0,0,K64/G64))</x:f>
      </x:c>
      <x:c r="Q64" s="86" t="str">
        <x:f>IF(A64="","",IF(L64&lt;0,"세부계획 초과",IF(M64&lt;0,"전망 초과",IF(N64&lt;0,"실구매 초과",IF(O64&lt;0,"집행 초과",IF(K64&gt;0,"집행중","미집행"))))))</x:f>
      </x:c>
      <x:c r="R64" s="96"/>
      <x:c r="S64" s="96"/>
    </x:row>
    <x:row r="65" ht="24" customHeight="1">
      <x:c r="A65" s="85"/>
      <x:c r="B65" s="85"/>
      <x:c r="C65" s="85"/>
      <x:c r="D65" s="85"/>
      <x:c r="E65" s="89"/>
      <x:c r="F65" s="88"/>
      <x:c r="G65" s="89"/>
      <x:c r="H65" s="90" t="str">
        <x:f>IF(A65="","",SUMIF('01_구매비용원장'!$F$7:$F$156,A65,'01_구매비용원장'!$R$7:$R$156))</x:f>
      </x:c>
      <x:c r="I65" s="90" t="str">
        <x:f>IF(A65="","",SUMIF('01_구매비용원장'!$F$7:$F$156,A65,'01_구매비용원장'!$AB$7:$AB$156))</x:f>
      </x:c>
      <x:c r="J65" s="90" t="str">
        <x:f>IF(A65="","",SUMIF('01_구매비용원장'!$F$7:$F$156,A65,'01_구매비용원장'!$Y$7:$Y$156))</x:f>
      </x:c>
      <x:c r="K65" s="90" t="str">
        <x:f>IF(A65="","",SUMIF('01_구매비용원장'!$F$7:$F$156,A65,'01_구매비용원장'!$AF$7:$AF$156))</x:f>
      </x:c>
      <x:c r="L65" s="90" t="str">
        <x:f>IF(A65="","",G65-H65)</x:f>
      </x:c>
      <x:c r="M65" s="90" t="str">
        <x:f>IF(A65="","",G65-I65)</x:f>
      </x:c>
      <x:c r="N65" s="90" t="str">
        <x:f>IF(A65="","",G65-J65)</x:f>
      </x:c>
      <x:c r="O65" s="90" t="str">
        <x:f>IF(A65="","",G65-K65)</x:f>
      </x:c>
      <x:c r="P65" s="97" t="str">
        <x:f>IF(A65="","",IF(G65=0,0,K65/G65))</x:f>
      </x:c>
      <x:c r="Q65" s="86" t="str">
        <x:f>IF(A65="","",IF(L65&lt;0,"세부계획 초과",IF(M65&lt;0,"전망 초과",IF(N65&lt;0,"실구매 초과",IF(O65&lt;0,"집행 초과",IF(K65&gt;0,"집행중","미집행"))))))</x:f>
      </x:c>
      <x:c r="R65" s="96"/>
      <x:c r="S65" s="96"/>
    </x:row>
    <x:row r="66" ht="24" customHeight="1">
      <x:c r="A66" s="85"/>
      <x:c r="B66" s="85"/>
      <x:c r="C66" s="85"/>
      <x:c r="D66" s="85"/>
      <x:c r="E66" s="89"/>
      <x:c r="F66" s="88"/>
      <x:c r="G66" s="89"/>
      <x:c r="H66" s="90" t="str">
        <x:f>IF(A66="","",SUMIF('01_구매비용원장'!$F$7:$F$156,A66,'01_구매비용원장'!$R$7:$R$156))</x:f>
      </x:c>
      <x:c r="I66" s="90" t="str">
        <x:f>IF(A66="","",SUMIF('01_구매비용원장'!$F$7:$F$156,A66,'01_구매비용원장'!$AB$7:$AB$156))</x:f>
      </x:c>
      <x:c r="J66" s="90" t="str">
        <x:f>IF(A66="","",SUMIF('01_구매비용원장'!$F$7:$F$156,A66,'01_구매비용원장'!$Y$7:$Y$156))</x:f>
      </x:c>
      <x:c r="K66" s="90" t="str">
        <x:f>IF(A66="","",SUMIF('01_구매비용원장'!$F$7:$F$156,A66,'01_구매비용원장'!$AF$7:$AF$156))</x:f>
      </x:c>
      <x:c r="L66" s="90" t="str">
        <x:f>IF(A66="","",G66-H66)</x:f>
      </x:c>
      <x:c r="M66" s="90" t="str">
        <x:f>IF(A66="","",G66-I66)</x:f>
      </x:c>
      <x:c r="N66" s="90" t="str">
        <x:f>IF(A66="","",G66-J66)</x:f>
      </x:c>
      <x:c r="O66" s="90" t="str">
        <x:f>IF(A66="","",G66-K66)</x:f>
      </x:c>
      <x:c r="P66" s="97" t="str">
        <x:f>IF(A66="","",IF(G66=0,0,K66/G66))</x:f>
      </x:c>
      <x:c r="Q66" s="86" t="str">
        <x:f>IF(A66="","",IF(L66&lt;0,"세부계획 초과",IF(M66&lt;0,"전망 초과",IF(N66&lt;0,"실구매 초과",IF(O66&lt;0,"집행 초과",IF(K66&gt;0,"집행중","미집행"))))))</x:f>
      </x:c>
      <x:c r="R66" s="96"/>
      <x:c r="S66" s="96"/>
    </x:row>
  </x:sheetData>
  <x:mergeCells>
    <x:mergeCell ref="A1:S1"/>
    <x:mergeCell ref="A2:S2"/>
    <x:mergeCell ref="A4:S4"/>
  </x:mergeCells>
  <x:conditionalFormatting sqref="L7:O66">
    <x:cfRule type="cellIs" dxfId="32" priority="1" operator="lessThan">
      <x:formula>0</x:formula>
    </x:cfRule>
  </x:conditionalFormatting>
  <x:conditionalFormatting sqref="Q7:Q66">
    <x:cfRule type="containsText" dxfId="33" priority="2" operator="containsText" text="완료"/>
    <x:cfRule type="containsText" dxfId="34" priority="3" operator="containsText" text="정상"/>
    <x:cfRule type="containsText" dxfId="35" priority="4" operator="containsText" text="검토"/>
    <x:cfRule type="containsText" dxfId="36" priority="5" operator="containsText" text="필요"/>
    <x:cfRule type="containsText" dxfId="37" priority="6" operator="containsText" text="보류"/>
    <x:cfRule type="containsText" dxfId="38" priority="7" operator="containsText" text="취소"/>
    <x:cfRule type="containsText" dxfId="39" priority="8" operator="containsText" text="초과"/>
    <x:cfRule type="containsText" dxfId="40" priority="9" operator="containsText" text="오류"/>
    <x:cfRule type="containsText" dxfId="41" priority="10" operator="containsText" text="중복"/>
  </x:conditionalFormatting>
  <x:dataValidations count="1">
    <x:dataValidation type="list" sqref="B7:B66">
      <x:formula1>"인건비,연구시설·장비비,연구재료비,연구활동비,연구수당,위탁연구개발비,간접비,기타"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4e14a3595e4b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18" hidden="0" customWidth="1"/>
    <x:col min="9" max="9" width="22" hidden="0" customWidth="1"/>
    <x:col min="10" max="10" width="22" hidden="0" customWidth="1"/>
  </x:cols>
  <x:sheetData>
    <x:row r="1" ht="34" customHeight="1">
      <x:c r="A1" s="3" t="str">
        <x:v>공통 코드·사용안내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공통양식 v1.1 | 코드표와 운영원칙을 한 시트에 통합 | 금액 단위: 원 · 표시: ₩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31" t="str">
        <x:v>진행단계</x:v>
      </x:c>
      <x:c r="B4" s="31" t="str">
        <x:v>비용유형</x:v>
      </x:c>
      <x:c r="C4" s="31" t="str">
        <x:v>부가세 구분</x:v>
      </x:c>
      <x:c r="D4" s="31" t="str">
        <x:v>전망반영(기본 포함)</x:v>
      </x:c>
      <x:c r="E4" s="31" t="str">
        <x:v>정산상태</x:v>
      </x:c>
      <x:c r="F4" s="31" t="str">
        <x:v>주문주체</x:v>
      </x:c>
      <x:c r="G4" s="31" t="str">
        <x:v>비목</x:v>
      </x:c>
      <x:c r="H4" s="31" t="str">
        <x:v>관리유형</x:v>
      </x:c>
      <x:c r="I4" s="31" t="str">
        <x:v>책임부서 예시</x:v>
      </x:c>
      <x:c r="J4" s="31" t="str">
        <x:v>약어</x:v>
      </x:c>
    </x:row>
    <x:row r="5">
      <x:c r="A5" s="37" t="str">
        <x:v>검토중</x:v>
      </x:c>
      <x:c r="B5" s="37" t="str">
        <x:v>물품/소모품</x:v>
      </x:c>
      <x:c r="C5" s="37" t="str">
        <x:v>포함</x:v>
      </x:c>
      <x:c r="D5" s="37" t="str">
        <x:v>포함</x:v>
      </x:c>
      <x:c r="E5" s="37" t="str">
        <x:v>미검토</x:v>
      </x:c>
      <x:c r="F5" s="37" t="str">
        <x:v>주관기관</x:v>
      </x:c>
      <x:c r="G5" s="37" t="str">
        <x:v>인건비</x:v>
      </x:c>
      <x:c r="H5" s="37" t="str">
        <x:v>인건비</x:v>
      </x:c>
      <x:c r="I5" s="37" t="str">
        <x:v>개발팀</x:v>
      </x:c>
      <x:c r="J5" s="37" t="str">
        <x:v>WBS</x:v>
      </x:c>
    </x:row>
    <x:row r="6">
      <x:c r="A6" s="37" t="str">
        <x:v>견적/비교중</x:v>
      </x:c>
      <x:c r="B6" s="37" t="str">
        <x:v>연구장비</x:v>
      </x:c>
      <x:c r="C6" s="37" t="str">
        <x:v>별도</x:v>
      </x:c>
      <x:c r="D6" s="37" t="str">
        <x:v>제외</x:v>
      </x:c>
      <x:c r="E6" s="37" t="str">
        <x:v>검토중</x:v>
      </x:c>
      <x:c r="F6" s="37" t="str">
        <x:v>참여기관 1</x:v>
      </x:c>
      <x:c r="G6" s="37" t="str">
        <x:v>연구시설·장비비</x:v>
      </x:c>
      <x:c r="H6" s="37" t="str">
        <x:v>장비구매</x:v>
      </x:c>
      <x:c r="I6" s="37" t="str">
        <x:v>경영지원</x:v>
      </x:c>
      <x:c r="J6" s="37" t="str">
        <x:v>BOM</x:v>
      </x:c>
    </x:row>
    <x:row r="7">
      <x:c r="A7" s="37" t="str">
        <x:v>승인대기</x:v>
      </x:c>
      <x:c r="B7" s="37" t="str">
        <x:v>시설/운영</x:v>
      </x:c>
      <x:c r="C7" s="37" t="str">
        <x:v>면세</x:v>
      </x:c>
      <x:c r="D7" s="37"/>
      <x:c r="E7" s="37" t="str">
        <x:v>증빙완료</x:v>
      </x:c>
      <x:c r="F7" s="37" t="str">
        <x:v>참여기관 2</x:v>
      </x:c>
      <x:c r="G7" s="37" t="str">
        <x:v>연구재료비</x:v>
      </x:c>
      <x:c r="H7" s="37" t="str">
        <x:v>재료구매</x:v>
      </x:c>
      <x:c r="I7" s="37" t="str">
        <x:v>사업책임자</x:v>
      </x:c>
      <x:c r="J7" s="37" t="str">
        <x:v>MAT</x:v>
      </x:c>
    </x:row>
    <x:row r="8">
      <x:c r="A8" s="37" t="str">
        <x:v>주문/계약완료</x:v>
      </x:c>
      <x:c r="B8" s="37" t="str">
        <x:v>소프트웨어/클라우드</x:v>
      </x:c>
      <x:c r="C8" s="37" t="str">
        <x:v>확인필요</x:v>
      </x:c>
      <x:c r="D8" s="37"/>
      <x:c r="E8" s="37" t="str">
        <x:v>정산완료</x:v>
      </x:c>
      <x:c r="F8" s="37"/>
      <x:c r="G8" s="37" t="str">
        <x:v>연구활동비</x:v>
      </x:c>
      <x:c r="H8" s="37" t="str">
        <x:v>활동·용역</x:v>
      </x:c>
      <x:c r="I8" s="37" t="str">
        <x:v>기술검수 담당</x:v>
      </x:c>
      <x:c r="J8" s="37" t="str">
        <x:v>RFQ</x:v>
      </x:c>
    </x:row>
    <x:row r="9">
      <x:c r="A9" s="37" t="str">
        <x:v>납품/수행중</x:v>
      </x:c>
      <x:c r="B9" s="37" t="str">
        <x:v>시험/분석</x:v>
      </x:c>
      <x:c r="C9" s="37"/>
      <x:c r="D9" s="37"/>
      <x:c r="E9" s="37" t="str">
        <x:v>보완</x:v>
      </x:c>
      <x:c r="F9" s="37"/>
      <x:c r="G9" s="37" t="str">
        <x:v>연구수당</x:v>
      </x:c>
      <x:c r="H9" s="37" t="str">
        <x:v>수당</x:v>
      </x:c>
      <x:c r="I9" s="37"/>
      <x:c r="J9" s="37" t="str">
        <x:v>PoC</x:v>
      </x:c>
    </x:row>
    <x:row r="10">
      <x:c r="A10" s="37" t="str">
        <x:v>완료</x:v>
      </x:c>
      <x:c r="B10" s="37" t="str">
        <x:v>외주용역</x:v>
      </x:c>
      <x:c r="C10" s="37"/>
      <x:c r="D10" s="37"/>
      <x:c r="E10" s="37" t="str">
        <x:v>불인정</x:v>
      </x:c>
      <x:c r="F10" s="37"/>
      <x:c r="G10" s="37" t="str">
        <x:v>위탁연구개발비</x:v>
      </x:c>
      <x:c r="H10" s="37" t="str">
        <x:v>기타</x:v>
      </x:c>
      <x:c r="I10" s="37"/>
      <x:c r="J10" s="37" t="str">
        <x:v>VAT</x:v>
      </x:c>
    </x:row>
    <x:row r="11">
      <x:c r="A11" s="37" t="str">
        <x:v>보유확인</x:v>
      </x:c>
      <x:c r="B11" s="37" t="str">
        <x:v>전문가활용</x:v>
      </x:c>
      <x:c r="C11" s="37"/>
      <x:c r="D11" s="37"/>
      <x:c r="E11" s="37"/>
      <x:c r="F11" s="37"/>
      <x:c r="G11" s="37" t="str">
        <x:v>간접비</x:v>
      </x:c>
      <x:c r="H11" s="37"/>
      <x:c r="I11" s="37"/>
      <x:c r="J11" s="37" t="str">
        <x:v>IRIS</x:v>
      </x:c>
    </x:row>
    <x:row r="12">
      <x:c r="A12" s="37" t="str">
        <x:v>보류</x:v>
      </x:c>
      <x:c r="B12" s="37" t="str">
        <x:v>임차/리스</x:v>
      </x:c>
      <x:c r="C12" s="37"/>
      <x:c r="D12" s="37"/>
      <x:c r="E12" s="37"/>
      <x:c r="F12" s="37"/>
      <x:c r="G12" s="37" t="str">
        <x:v>기타</x:v>
      </x:c>
      <x:c r="H12" s="37"/>
      <x:c r="I12" s="37"/>
      <x:c r="J12" s="37" t="str">
        <x:v>Gate</x:v>
      </x:c>
    </x:row>
    <x:row r="13">
      <x:c r="A13" s="37" t="str">
        <x:v>취소</x:v>
      </x:c>
      <x:c r="B13" s="37" t="str">
        <x:v>인건비/수당</x:v>
      </x:c>
      <x:c r="C13" s="37"/>
      <x:c r="D13" s="37"/>
      <x:c r="E13" s="37"/>
      <x:c r="F13" s="37"/>
      <x:c r="G13" s="37"/>
      <x:c r="H13" s="37"/>
      <x:c r="I13" s="37"/>
      <x:c r="J13" s="37"/>
    </x:row>
    <x:row r="14">
      <x:c r="A14" s="37"/>
      <x:c r="B14" s="37" t="str">
        <x:v>기타</x:v>
      </x:c>
      <x:c r="C14" s="37"/>
      <x:c r="D14" s="37"/>
      <x:c r="E14" s="37"/>
      <x:c r="F14" s="37"/>
      <x:c r="G14" s="37"/>
      <x:c r="H14" s="37"/>
      <x:c r="I14" s="37"/>
      <x:c r="J14" s="37"/>
    </x:row>
    <x:row r="16" ht="34" customHeight="1">
      <x:c r="A16" s="28" t="str">
        <x:v>1. 공통 입력 원칙</x:v>
      </x:c>
      <x:c r="B16" s="28"/>
      <x:c r="C16" s="28"/>
      <x:c r="D16" s="28"/>
      <x:c r="E16" s="28"/>
      <x:c r="F16" s="28"/>
      <x:c r="G16" s="28"/>
      <x:c r="H16" s="28"/>
      <x:c r="I16" s="28"/>
      <x:c r="J16" s="28"/>
    </x:row>
    <x:row r="17" ht="34" customHeight="1">
      <x:c r="A17" s="31" t="str">
        <x:v>원칙</x:v>
      </x:c>
      <x:c r="B17" s="31" t="str">
        <x:v>설명</x:v>
      </x:c>
      <x:c r="C17" s="31"/>
      <x:c r="D17" s="31"/>
      <x:c r="E17" s="31"/>
      <x:c r="F17" s="31"/>
      <x:c r="G17" s="31"/>
      <x:c r="H17" s="31"/>
      <x:c r="I17" s="31"/>
      <x:c r="J17" s="31"/>
    </x:row>
    <x:row r="18" ht="34" customHeight="1">
      <x:c r="A18" s="99" t="str">
        <x:v>한 행 = 한 세부 품목·용역</x:v>
      </x:c>
      <x:c r="B18" s="36" t="str">
        <x:v>여러 제품을 한 셀에 합치지 않고 각각 계획ID를 부여합니다. 같은 승인예산라인ID는 여러 행에서 반복 연결합니다.</x:v>
      </x:c>
      <x:c r="C18" s="36"/>
      <x:c r="D18" s="36"/>
      <x:c r="E18" s="36"/>
      <x:c r="F18" s="36"/>
      <x:c r="G18" s="36"/>
      <x:c r="H18" s="36"/>
      <x:c r="I18" s="36"/>
      <x:c r="J18" s="36"/>
    </x:row>
    <x:row r="19" ht="34" customHeight="1">
      <x:c r="A19" s="99" t="str">
        <x:v>승인예산 우선</x:v>
      </x:c>
      <x:c r="B19" s="36" t="str">
        <x:v>02_승인예산에는 IRIS 제출완료본의 공식 산출내역·계획단가·수량·승인액을 등록합니다.</x:v>
      </x:c>
      <x:c r="C19" s="36"/>
      <x:c r="D19" s="36"/>
      <x:c r="E19" s="36"/>
      <x:c r="F19" s="36"/>
      <x:c r="G19" s="36"/>
      <x:c r="H19" s="36"/>
      <x:c r="I19" s="36"/>
      <x:c r="J19" s="36"/>
    </x:row>
    <x:row r="20" ht="34" customHeight="1">
      <x:c r="A20" s="99" t="str">
        <x:v>계획과 실제 분리</x:v>
      </x:c>
      <x:c r="B20" s="36" t="str">
        <x:v>계획수량·단가는 구매 전 예상값, 실구매수량·단가는 발주·납품 결과입니다. 차액은 자동 계산됩니다.</x:v>
      </x:c>
      <x:c r="C20" s="36"/>
      <x:c r="D20" s="36"/>
      <x:c r="E20" s="36"/>
      <x:c r="F20" s="36"/>
      <x:c r="G20" s="36"/>
      <x:c r="H20" s="36"/>
      <x:c r="I20" s="36"/>
      <x:c r="J20" s="36"/>
    </x:row>
    <x:row r="21" ht="34" customHeight="1">
      <x:c r="A21" s="99" t="str">
        <x:v>전망반영 통제</x:v>
      </x:c>
      <x:c r="B21" s="36" t="str">
        <x:v>구매계획에 등록한 모든 건을 기본적으로 전망에 포함합니다. 취소하거나 구매하지 않는 건만 ‘제외’로 선택하며, 실제→계약→선정견적→계획 순으로 최신 금액을 사용합니다.</x:v>
      </x:c>
      <x:c r="C21" s="36"/>
      <x:c r="D21" s="36"/>
      <x:c r="E21" s="36"/>
      <x:c r="F21" s="36"/>
      <x:c r="G21" s="36"/>
      <x:c r="H21" s="36"/>
      <x:c r="I21" s="36"/>
      <x:c r="J21" s="36"/>
    </x:row>
    <x:row r="22" ht="34" customHeight="1">
      <x:c r="A22" s="99" t="str">
        <x:v>정산 기준</x:v>
      </x:c>
      <x:c r="B22" s="36" t="str">
        <x:v>공급가액·부가세액·조정/환입을 입력하면 인정집행액이 계산됩니다. 증빙ID와 지급일을 함께 연결합니다.</x:v>
      </x:c>
      <x:c r="C22" s="36"/>
      <x:c r="D22" s="36"/>
      <x:c r="E22" s="36"/>
      <x:c r="F22" s="36"/>
      <x:c r="G22" s="36"/>
      <x:c r="H22" s="36"/>
      <x:c r="I22" s="36"/>
      <x:c r="J22" s="36"/>
    </x:row>
    <x:row r="23" ht="34" customHeight="1">
      <x:c r="A23" s="99" t="str">
        <x:v>금액 단위</x:v>
      </x:c>
      <x:c r="B23" s="36" t="str">
        <x:v>모든 금액은 원 단위 숫자로 입력하고 통화 서식은 ₩로 표시합니다. 천원 자료를 이관할 때는 반드시 ×1,000 합니다.</x:v>
      </x:c>
      <x:c r="C23" s="36"/>
      <x:c r="D23" s="36"/>
      <x:c r="E23" s="36"/>
      <x:c r="F23" s="36"/>
      <x:c r="G23" s="36"/>
      <x:c r="H23" s="36"/>
      <x:c r="I23" s="36"/>
      <x:c r="J23" s="36"/>
    </x:row>
    <x:row r="25" ht="34" customHeight="1">
      <x:c r="A25" s="28" t="str">
        <x:v>2. 권장 업무 흐름</x:v>
      </x:c>
      <x:c r="B25" s="28"/>
      <x:c r="C25" s="28"/>
      <x:c r="D25" s="28"/>
      <x:c r="E25" s="28"/>
      <x:c r="F25" s="28"/>
      <x:c r="G25" s="28"/>
      <x:c r="H25" s="28"/>
      <x:c r="I25" s="28"/>
      <x:c r="J25" s="28"/>
    </x:row>
    <x:row r="26" ht="34" customHeight="1">
      <x:c r="A26" s="31" t="str">
        <x:v>단계</x:v>
      </x:c>
      <x:c r="B26" s="31" t="str">
        <x:v>담당</x:v>
      </x:c>
      <x:c r="C26" s="31" t="str">
        <x:v>핵심 입력·확인</x:v>
      </x:c>
      <x:c r="D26" s="31"/>
      <x:c r="E26" s="31"/>
      <x:c r="F26" s="31"/>
      <x:c r="G26" s="31"/>
      <x:c r="H26" s="31"/>
      <x:c r="I26" s="31"/>
      <x:c r="J26" s="31"/>
    </x:row>
    <x:row r="27">
      <x:c r="A27" s="36" t="str">
        <x:v>1. 승인예산 등록</x:v>
      </x:c>
      <x:c r="B27" s="36" t="str">
        <x:v>사업책임자·경영지원</x:v>
      </x:c>
      <x:c r="C27" s="36" t="str">
        <x:v>02 예산라인ID·비목·공식 산출내역·승인액</x:v>
      </x:c>
      <x:c r="D27" s="36"/>
      <x:c r="E27" s="36"/>
      <x:c r="F27" s="36"/>
      <x:c r="G27" s="36"/>
      <x:c r="H27" s="36"/>
      <x:c r="I27" s="36"/>
      <x:c r="J27" s="36"/>
    </x:row>
    <x:row r="28">
      <x:c r="A28" s="36" t="str">
        <x:v>2. 구매계획 등록</x:v>
      </x:c>
      <x:c r="B28" s="36" t="str">
        <x:v>요청부서</x:v>
      </x:c>
      <x:c r="C28" s="36" t="str">
        <x:v>01 세부 품목·제품·URL·계획수량·단가 입력, 제외가 필요한 건만 ‘제외’ 표시</x:v>
      </x:c>
      <x:c r="D28" s="36"/>
      <x:c r="E28" s="36"/>
      <x:c r="F28" s="36"/>
      <x:c r="G28" s="36"/>
      <x:c r="H28" s="36"/>
      <x:c r="I28" s="36"/>
      <x:c r="J28" s="36"/>
    </x:row>
    <x:row r="29">
      <x:c r="A29" s="36" t="str">
        <x:v>3. 견적·발주</x:v>
      </x:c>
      <x:c r="B29" s="36" t="str">
        <x:v>구매담당</x:v>
      </x:c>
      <x:c r="C29" s="36" t="str">
        <x:v>선정견적·계약액·공급처·발주일</x:v>
      </x:c>
      <x:c r="D29" s="36"/>
      <x:c r="E29" s="36"/>
      <x:c r="F29" s="36"/>
      <x:c r="G29" s="36"/>
      <x:c r="H29" s="36"/>
      <x:c r="I29" s="36"/>
      <x:c r="J29" s="36"/>
    </x:row>
    <x:row r="30">
      <x:c r="A30" s="36" t="str">
        <x:v>4. 납품·검수</x:v>
      </x:c>
      <x:c r="B30" s="36" t="str">
        <x:v>요청부서·기술검수자</x:v>
      </x:c>
      <x:c r="C30" s="36" t="str">
        <x:v>실구매수량·단가·구매일·설치장소</x:v>
      </x:c>
      <x:c r="D30" s="36"/>
      <x:c r="E30" s="36"/>
      <x:c r="F30" s="36"/>
      <x:c r="G30" s="36"/>
      <x:c r="H30" s="36"/>
      <x:c r="I30" s="36"/>
      <x:c r="J30" s="36"/>
    </x:row>
    <x:row r="31">
      <x:c r="A31" s="36" t="str">
        <x:v>5. 지급·정산</x:v>
      </x:c>
      <x:c r="B31" s="36" t="str">
        <x:v>경영지원</x:v>
      </x:c>
      <x:c r="C31" s="36" t="str">
        <x:v>공급가·VAT·조정·지급일·정산상태·증빙ID</x:v>
      </x:c>
      <x:c r="D31" s="36"/>
      <x:c r="E31" s="36"/>
      <x:c r="F31" s="36"/>
      <x:c r="G31" s="36"/>
      <x:c r="H31" s="36"/>
      <x:c r="I31" s="36"/>
      <x:c r="J31" s="36"/>
    </x:row>
    <x:row r="32">
      <x:c r="A32" s="36" t="str">
        <x:v>6. 월말 점검</x:v>
      </x:c>
      <x:c r="B32" s="36" t="str">
        <x:v>사업책임자</x:v>
      </x:c>
      <x:c r="C32" s="36" t="str">
        <x:v>00 경고 0건 확인, 초과·미지급·증빙 누락 조치</x:v>
      </x:c>
      <x:c r="D32" s="36"/>
      <x:c r="E32" s="36"/>
      <x:c r="F32" s="36"/>
      <x:c r="G32" s="36"/>
      <x:c r="H32" s="36"/>
      <x:c r="I32" s="36"/>
      <x:c r="J32" s="36"/>
    </x:row>
    <x:row r="34" ht="34" customHeight="1">
      <x:c r="A34" s="28" t="str">
        <x:v>3. 약어 사전</x:v>
      </x:c>
      <x:c r="B34" s="28"/>
      <x:c r="C34" s="28"/>
      <x:c r="D34" s="28"/>
      <x:c r="E34" s="28"/>
      <x:c r="F34" s="28"/>
      <x:c r="G34" s="28"/>
      <x:c r="H34" s="28"/>
      <x:c r="I34" s="28"/>
      <x:c r="J34" s="28"/>
    </x:row>
    <x:row r="35" ht="34" customHeight="1">
      <x:c r="A35" s="31" t="str">
        <x:v>약어</x:v>
      </x:c>
      <x:c r="B35" s="31" t="str">
        <x:v>원어</x:v>
      </x:c>
      <x:c r="C35" s="31" t="str">
        <x:v>간단 설명</x:v>
      </x:c>
      <x:c r="D35" s="31"/>
      <x:c r="E35" s="31"/>
      <x:c r="F35" s="31"/>
      <x:c r="G35" s="31"/>
      <x:c r="H35" s="31"/>
      <x:c r="I35" s="31"/>
      <x:c r="J35" s="31"/>
    </x:row>
    <x:row r="36">
      <x:c r="A36" s="36" t="str">
        <x:v>WBS</x:v>
      </x:c>
      <x:c r="B36" s="36" t="str">
        <x:v>Work Breakdown Structure</x:v>
      </x:c>
      <x:c r="C36" s="36" t="str">
        <x:v>업무를 수행 가능한 단위로 분해한 작업 구조</x:v>
      </x:c>
      <x:c r="D36" s="36"/>
      <x:c r="E36" s="36"/>
      <x:c r="F36" s="36"/>
      <x:c r="G36" s="36"/>
      <x:c r="H36" s="36"/>
      <x:c r="I36" s="36"/>
      <x:c r="J36" s="36"/>
    </x:row>
    <x:row r="37">
      <x:c r="A37" s="36" t="str">
        <x:v>BOM</x:v>
      </x:c>
      <x:c r="B37" s="36" t="str">
        <x:v>Bill of Materials</x:v>
      </x:c>
      <x:c r="C37" s="36" t="str">
        <x:v>제작·조립에 필요한 부품과 수량 목록</x:v>
      </x:c>
      <x:c r="D37" s="36"/>
      <x:c r="E37" s="36"/>
      <x:c r="F37" s="36"/>
      <x:c r="G37" s="36"/>
      <x:c r="H37" s="36"/>
      <x:c r="I37" s="36"/>
      <x:c r="J37" s="36"/>
    </x:row>
    <x:row r="38">
      <x:c r="A38" s="36" t="str">
        <x:v>MAT</x:v>
      </x:c>
      <x:c r="B38" s="36" t="str">
        <x:v>Material ID</x:v>
      </x:c>
      <x:c r="C38" s="36" t="str">
        <x:v>내부 재료·구매품 추적용 관리 코드</x:v>
      </x:c>
      <x:c r="D38" s="36"/>
      <x:c r="E38" s="36"/>
      <x:c r="F38" s="36"/>
      <x:c r="G38" s="36"/>
      <x:c r="H38" s="36"/>
      <x:c r="I38" s="36"/>
      <x:c r="J38" s="36"/>
    </x:row>
    <x:row r="39">
      <x:c r="A39" s="36" t="str">
        <x:v>RFQ</x:v>
      </x:c>
      <x:c r="B39" s="36" t="str">
        <x:v>Request for Quotation</x:v>
      </x:c>
      <x:c r="C39" s="36" t="str">
        <x:v>공급사에 규격·수량·조건을 제시해 견적을 요청하는 문서</x:v>
      </x:c>
      <x:c r="D39" s="36"/>
      <x:c r="E39" s="36"/>
      <x:c r="F39" s="36"/>
      <x:c r="G39" s="36"/>
      <x:c r="H39" s="36"/>
      <x:c r="I39" s="36"/>
      <x:c r="J39" s="36"/>
    </x:row>
    <x:row r="40">
      <x:c r="A40" s="36" t="str">
        <x:v>PoC</x:v>
      </x:c>
      <x:c r="B40" s="36" t="str">
        <x:v>Proof of Concept</x:v>
      </x:c>
      <x:c r="C40" s="36" t="str">
        <x:v>기술 가능성과 성능을 제한된 범위에서 검증하는 시험</x:v>
      </x:c>
      <x:c r="D40" s="36"/>
      <x:c r="E40" s="36"/>
      <x:c r="F40" s="36"/>
      <x:c r="G40" s="36"/>
      <x:c r="H40" s="36"/>
      <x:c r="I40" s="36"/>
      <x:c r="J40" s="36"/>
    </x:row>
    <x:row r="41">
      <x:c r="A41" s="36" t="str">
        <x:v>VAT</x:v>
      </x:c>
      <x:c r="B41" s="36" t="str">
        <x:v>Value Added Tax</x:v>
      </x:c>
      <x:c r="C41" s="36" t="str">
        <x:v>부가가치세. ‘별도’ 선택 시 10% 자동 가산</x:v>
      </x:c>
      <x:c r="D41" s="36"/>
      <x:c r="E41" s="36"/>
      <x:c r="F41" s="36"/>
      <x:c r="G41" s="36"/>
      <x:c r="H41" s="36"/>
      <x:c r="I41" s="36"/>
      <x:c r="J41" s="36"/>
    </x:row>
    <x:row r="42">
      <x:c r="A42" s="36" t="str">
        <x:v>IRIS</x:v>
      </x:c>
      <x:c r="B42" s="36" t="str">
        <x:v>Integrated R&amp;D Information System</x:v>
      </x:c>
      <x:c r="C42" s="36" t="str">
        <x:v>국가연구개발사업 과제·협약·예산 기준 시스템</x:v>
      </x:c>
      <x:c r="D42" s="36"/>
      <x:c r="E42" s="36"/>
      <x:c r="F42" s="36"/>
      <x:c r="G42" s="36"/>
      <x:c r="H42" s="36"/>
      <x:c r="I42" s="36"/>
      <x:c r="J42" s="36"/>
    </x:row>
    <x:row r="43">
      <x:c r="A43" s="36" t="str">
        <x:v>Gate</x:v>
      </x:c>
      <x:c r="B43" s="36" t="str">
        <x:v>Decision Gate</x:v>
      </x:c>
      <x:c r="C43" s="36" t="str">
        <x:v>발주·진행 전 충족해야 하는 의사결정 조건</x:v>
      </x:c>
      <x:c r="D43" s="36"/>
      <x:c r="E43" s="36"/>
      <x:c r="F43" s="36"/>
      <x:c r="G43" s="36"/>
      <x:c r="H43" s="36"/>
      <x:c r="I43" s="36"/>
      <x:c r="J43" s="36"/>
    </x:row>
    <x:row r="45" ht="34" customHeight="1">
      <x:c r="A45" s="28" t="str">
        <x:v>4. 개정·이관 기록</x:v>
      </x:c>
      <x:c r="B45" s="28"/>
      <x:c r="C45" s="28"/>
      <x:c r="D45" s="28"/>
      <x:c r="E45" s="28"/>
      <x:c r="F45" s="28"/>
      <x:c r="G45" s="28"/>
      <x:c r="H45" s="28"/>
      <x:c r="I45" s="28"/>
      <x:c r="J45" s="28"/>
    </x:row>
    <x:row r="46" ht="34" customHeight="1">
      <x:c r="A46" s="31" t="str">
        <x:v>버전</x:v>
      </x:c>
      <x:c r="B46" s="31" t="str">
        <x:v>일자</x:v>
      </x:c>
      <x:c r="C46" s="31" t="str">
        <x:v>구분</x:v>
      </x:c>
      <x:c r="D46" s="31" t="str">
        <x:v>주요 변경</x:v>
      </x:c>
      <x:c r="E46" s="31"/>
      <x:c r="F46" s="31"/>
      <x:c r="G46" s="31"/>
      <x:c r="H46" s="31"/>
      <x:c r="I46" s="31"/>
      <x:c r="J46" s="31"/>
    </x:row>
    <x:row r="47">
      <x:c r="A47" s="36" t="str">
        <x:v>v1.1</x:v>
      </x:c>
      <x:c r="B47" s="36" t="str">
        <x:v>2026-09-01</x:v>
      </x:c>
      <x:c r="C47" s="36" t="str">
        <x:v>대시보드 시각화</x:v>
      </x:c>
      <x:c r="D47" s="36" t="str">
        <x:v>비목별 승인예산·구매계획 전망·실구매액 비교 차트 추가 및 전망 기준을 구매계획 전체로 통일</x:v>
      </x:c>
      <x:c r="E47" s="36"/>
      <x:c r="F47" s="36"/>
      <x:c r="G47" s="36"/>
      <x:c r="H47" s="36"/>
      <x:c r="I47" s="36"/>
      <x:c r="J47" s="36"/>
    </x:row>
    <x:row r="48">
      <x:c r="A48" s="36" t="str">
        <x:v>v1.0</x:v>
      </x:c>
      <x:c r="B48" s="36" t="str">
        <x:v>2026-08-31</x:v>
      </x:c>
      <x:c r="C48" s="36" t="str">
        <x:v>공통양식 제정</x:v>
      </x:c>
      <x:c r="D48" s="36" t="str">
        <x:v>기존 구매비용 관리대장을 비교해 승인예산·계획·실구매·정산 통합</x:v>
      </x:c>
      <x:c r="E48" s="36"/>
      <x:c r="F48" s="36"/>
      <x:c r="G48" s="36"/>
      <x:c r="H48" s="36"/>
      <x:c r="I48" s="36"/>
      <x:c r="J48" s="36"/>
    </x:row>
    <x:row r="49">
      <x:c r="A49" t="str">
        <x:v>통제</x:v>
      </x:c>
      <x:c r="B49" t="str">
        <x:v>상시</x:v>
      </x:c>
      <x:c r="C49" t="str">
        <x:v>기준 우선순위</x:v>
      </x:c>
      <x:c r="D49" t="str">
        <x:v>IRIS 제출완료 사업계획서 &gt; 승인 변경문서 &gt; 내부 실행계획 &gt; 예상견적</x:v>
      </x:c>
    </x:row>
  </x:sheetData>
  <x:mergeCells>
    <x:mergeCell ref="A1:J1"/>
    <x:mergeCell ref="A2:J2"/>
    <x:mergeCell ref="A16:J16"/>
    <x:mergeCell ref="B17:J17"/>
    <x:mergeCell ref="B18:J18"/>
    <x:mergeCell ref="B19:J19"/>
    <x:mergeCell ref="B20:J20"/>
    <x:mergeCell ref="B21:J21"/>
    <x:mergeCell ref="B22:J22"/>
    <x:mergeCell ref="B23:J23"/>
    <x:mergeCell ref="A25:J25"/>
    <x:mergeCell ref="C26:J26"/>
    <x:mergeCell ref="C27:J27"/>
    <x:mergeCell ref="C28:J28"/>
    <x:mergeCell ref="C29:J29"/>
    <x:mergeCell ref="C30:J30"/>
    <x:mergeCell ref="C31:J31"/>
    <x:mergeCell ref="C32:J32"/>
    <x:mergeCell ref="A34:J34"/>
    <x:mergeCell ref="C35:J35"/>
    <x:mergeCell ref="C36:J36"/>
    <x:mergeCell ref="C37:J37"/>
    <x:mergeCell ref="C38:J38"/>
    <x:mergeCell ref="C39:J39"/>
    <x:mergeCell ref="C40:J40"/>
    <x:mergeCell ref="C41:J41"/>
    <x:mergeCell ref="C42:J42"/>
    <x:mergeCell ref="C43:J43"/>
    <x:mergeCell ref="A45:J45"/>
    <x:mergeCell ref="D46:J46"/>
    <x:mergeCell ref="D47:J47"/>
    <x:mergeCell ref="D48:J48"/>
  </x:mergeCells>
  <x:pageMargins left="0.7" right="0.7" top="0.75" bottom="0.75" header="0.3" footer="0.3"/>
</x:worksheet>
</file>